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showObjects="none"/>
  <mc:AlternateContent xmlns:mc="http://schemas.openxmlformats.org/markup-compatibility/2006">
    <mc:Choice Requires="x15">
      <x15ac:absPath xmlns:x15ac="http://schemas.microsoft.com/office/spreadsheetml/2010/11/ac" url="https://ilumcnpem-my.sharepoint.com/personal/andre23035_ilum_cnpem_br/Documents/Documentos/TCC/ROS/22082025/"/>
    </mc:Choice>
  </mc:AlternateContent>
  <xr:revisionPtr revIDLastSave="937" documentId="14_{DF65B0A5-FF84-431C-8EE5-309AEDBEE07B}" xr6:coauthVersionLast="47" xr6:coauthVersionMax="47" xr10:uidLastSave="{13F6ADE0-100A-43B3-8B1C-C73C5173274C}"/>
  <bookViews>
    <workbookView xWindow="1536" yWindow="1536" windowWidth="17280" windowHeight="8880" xr2:uid="{00000000-000D-0000-FFFF-FFFF00000000}"/>
  </bookViews>
  <sheets>
    <sheet name="Plan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I7" i="1"/>
  <c r="J10" i="1"/>
  <c r="J9" i="1"/>
  <c r="J8" i="1"/>
  <c r="J7" i="1"/>
  <c r="J6" i="1"/>
  <c r="I10" i="1"/>
  <c r="I8" i="1"/>
  <c r="I6" i="1"/>
</calcChain>
</file>

<file path=xl/sharedStrings.xml><?xml version="1.0" encoding="utf-8"?>
<sst xmlns="http://schemas.openxmlformats.org/spreadsheetml/2006/main" count="121" uniqueCount="68">
  <si>
    <t>sample</t>
  </si>
  <si>
    <t>type</t>
  </si>
  <si>
    <t>concentration</t>
  </si>
  <si>
    <t>intensity</t>
  </si>
  <si>
    <t>Snap-13</t>
  </si>
  <si>
    <t>control</t>
  </si>
  <si>
    <t>Snap-15</t>
  </si>
  <si>
    <t>Snap-17</t>
  </si>
  <si>
    <t>Snap-19</t>
  </si>
  <si>
    <t>média</t>
  </si>
  <si>
    <t>desvio padrão</t>
  </si>
  <si>
    <t>Snap-22</t>
  </si>
  <si>
    <t>Snap-24</t>
  </si>
  <si>
    <t>BCT 1</t>
  </si>
  <si>
    <t>Snap-26</t>
  </si>
  <si>
    <t>BST 1</t>
  </si>
  <si>
    <t>Snap-28</t>
  </si>
  <si>
    <t>BCT 2</t>
  </si>
  <si>
    <t>Snap-30</t>
  </si>
  <si>
    <t>BST 2</t>
  </si>
  <si>
    <t>Snap-108</t>
  </si>
  <si>
    <t>BCT</t>
  </si>
  <si>
    <t>Snap-112</t>
  </si>
  <si>
    <t>Snap-113</t>
  </si>
  <si>
    <t>Snap-116</t>
  </si>
  <si>
    <t>Snap-117</t>
  </si>
  <si>
    <t>Snap-122</t>
  </si>
  <si>
    <t>Snap-123</t>
  </si>
  <si>
    <t>Snap-126</t>
  </si>
  <si>
    <t>Snap-127</t>
  </si>
  <si>
    <t>Snap-130</t>
  </si>
  <si>
    <t>Snap-131</t>
  </si>
  <si>
    <t>Snap-134</t>
  </si>
  <si>
    <t>Snap-102</t>
  </si>
  <si>
    <t>BST</t>
  </si>
  <si>
    <t>Snap-106</t>
  </si>
  <si>
    <t>Snap-80</t>
  </si>
  <si>
    <t>Snap-84</t>
  </si>
  <si>
    <t>Snap-85</t>
  </si>
  <si>
    <t>Snap-89</t>
  </si>
  <si>
    <t>Snap-93</t>
  </si>
  <si>
    <t>Snap-97</t>
  </si>
  <si>
    <t>Snap-99</t>
  </si>
  <si>
    <t>Snap-53</t>
  </si>
  <si>
    <t>Snap-58</t>
  </si>
  <si>
    <t>Snap-59</t>
  </si>
  <si>
    <t>Snap-63</t>
  </si>
  <si>
    <t>Snap-64</t>
  </si>
  <si>
    <t>Snap-67</t>
  </si>
  <si>
    <t>Snap-68</t>
  </si>
  <si>
    <t>Snap-71</t>
  </si>
  <si>
    <t>Snap-73</t>
  </si>
  <si>
    <t>Snap-74</t>
  </si>
  <si>
    <t>Snap-77</t>
  </si>
  <si>
    <t>Snap-06</t>
  </si>
  <si>
    <t>Snap-07</t>
  </si>
  <si>
    <t>Snap-08</t>
  </si>
  <si>
    <t>Snap-10</t>
  </si>
  <si>
    <t>Snap-33</t>
  </si>
  <si>
    <t>Snap-34</t>
  </si>
  <si>
    <t>Snap-36</t>
  </si>
  <si>
    <t>Snap-37</t>
  </si>
  <si>
    <t>Snap-41</t>
  </si>
  <si>
    <t>Snap-42</t>
  </si>
  <si>
    <t>Snap-44</t>
  </si>
  <si>
    <t>Snap-47</t>
  </si>
  <si>
    <t>Snap-49</t>
  </si>
  <si>
    <t>Snap-52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</si>
</sst>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/>
    <xf numFmtId="49" fontId="0" fillId="0" borderId="0" xfId="0" applyNumberFormat="1"/>
    <xf numFmtId="0" fontId="0" fillId="0" borderId="1" xfId="0" applyBorder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Intensidade do ROS - 22/08/2025</a:t>
            </a:r>
          </a:p>
        </c:rich>
      </c:tx>
      <c:layout>
        <c:manualLayout>
          <c:xMode val="edge"/>
          <c:yMode val="edge"/>
          <c:x val="0.22572904501019711"/>
          <c:y val="3.47222222222222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4B084"/>
            </a:solidFill>
            <a:ln>
              <a:solidFill>
                <a:srgbClr val="C65911"/>
              </a:solidFill>
              <a:prstDash val="solid"/>
            </a:ln>
            <a:effectLst/>
          </c:spPr>
          <c:invertIfNegative val="0"/>
          <c:cat>
            <c:strRef>
              <c:f>Plan1!$H$6:$H$10</c:f>
              <c:strCache>
                <c:ptCount val="5"/>
                <c:pt idx="0">
                  <c:v>control</c:v>
                </c:pt>
                <c:pt idx="1">
                  <c:v>BCT 1</c:v>
                </c:pt>
                <c:pt idx="2">
                  <c:v>BST 1</c:v>
                </c:pt>
                <c:pt idx="3">
                  <c:v>BCT 2</c:v>
                </c:pt>
                <c:pt idx="4">
                  <c:v>BST 2</c:v>
                </c:pt>
              </c:strCache>
            </c:strRef>
          </c:cat>
          <c:val>
            <c:numRef>
              <c:f>Plan1!$I$6:$I$10</c:f>
              <c:numCache>
                <c:formatCode>0.00</c:formatCode>
                <c:ptCount val="5"/>
                <c:pt idx="0">
                  <c:v>22125.375</c:v>
                </c:pt>
                <c:pt idx="1">
                  <c:v>66658.666666666672</c:v>
                </c:pt>
                <c:pt idx="2">
                  <c:v>95389.222222222219</c:v>
                </c:pt>
                <c:pt idx="3">
                  <c:v>65720.909090909088</c:v>
                </c:pt>
                <c:pt idx="4">
                  <c:v>87392.357142857145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43-4C48-9F5C-C978024CE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9435400"/>
        <c:axId val="909437448"/>
      </c:barChart>
      <c:catAx>
        <c:axId val="909435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437448"/>
        <c:crosses val="autoZero"/>
        <c:auto val="1"/>
        <c:lblAlgn val="ctr"/>
        <c:lblOffset val="100"/>
        <c:noMultiLvlLbl val="0"/>
      </c:catAx>
      <c:valAx>
        <c:axId val="909437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435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180975</xdr:rowOff>
    </xdr:from>
    <xdr:to>
      <xdr:col>10</xdr:col>
      <xdr:colOff>1419225</xdr:colOff>
      <xdr:row>26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7FC01E8-414F-E685-019E-0BD8717B0B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4"/>
  <sheetViews>
    <sheetView tabSelected="1" workbookViewId="0">
      <pane ySplit="1" topLeftCell="A2" activePane="bottomLeft" state="frozen"/>
      <selection pane="bottomLeft" activeCell="D5" sqref="D5"/>
    </sheetView>
  </sheetViews>
  <sheetFormatPr defaultRowHeight="15" customHeight="1" x14ac:dyDescent="0.3"/>
  <cols>
    <col min="1" max="2" width="14.33203125" customWidth="1"/>
    <col min="3" max="3" width="15.33203125" customWidth="1"/>
    <col min="4" max="4" width="15.6640625" customWidth="1"/>
    <col min="5" max="5" width="15.44140625" customWidth="1"/>
    <col min="6" max="7" width="16.88671875" customWidth="1"/>
    <col min="8" max="8" width="7.6640625" bestFit="1" customWidth="1"/>
    <col min="9" max="9" width="9.33203125" bestFit="1" customWidth="1"/>
    <col min="10" max="10" width="13.44140625" bestFit="1" customWidth="1"/>
    <col min="11" max="11" width="38.33203125" customWidth="1"/>
  </cols>
  <sheetData>
    <row r="1" spans="1:14" ht="14.4" x14ac:dyDescent="0.3">
      <c r="A1" t="s">
        <v>0</v>
      </c>
      <c r="B1" t="s">
        <v>1</v>
      </c>
      <c r="C1" t="s">
        <v>2</v>
      </c>
      <c r="D1" t="s">
        <v>3</v>
      </c>
    </row>
    <row r="2" spans="1:14" ht="14.4" x14ac:dyDescent="0.3">
      <c r="A2" t="s">
        <v>4</v>
      </c>
      <c r="B2" t="s">
        <v>5</v>
      </c>
      <c r="C2">
        <v>0</v>
      </c>
      <c r="D2">
        <v>27157</v>
      </c>
      <c r="G2" s="1"/>
      <c r="J2" s="1"/>
    </row>
    <row r="3" spans="1:14" ht="14.4" x14ac:dyDescent="0.3">
      <c r="A3" t="s">
        <v>6</v>
      </c>
      <c r="B3" t="s">
        <v>5</v>
      </c>
      <c r="C3">
        <v>0</v>
      </c>
      <c r="D3">
        <v>17222</v>
      </c>
      <c r="G3" s="1"/>
      <c r="J3" s="1"/>
    </row>
    <row r="4" spans="1:14" ht="14.4" x14ac:dyDescent="0.3">
      <c r="A4" t="s">
        <v>7</v>
      </c>
      <c r="B4" t="s">
        <v>5</v>
      </c>
      <c r="C4">
        <v>0</v>
      </c>
      <c r="D4">
        <v>19979</v>
      </c>
      <c r="G4" s="1"/>
      <c r="J4" s="1"/>
    </row>
    <row r="5" spans="1:14" ht="14.4" x14ac:dyDescent="0.3">
      <c r="A5" t="s">
        <v>8</v>
      </c>
      <c r="B5" t="s">
        <v>5</v>
      </c>
      <c r="C5">
        <v>0</v>
      </c>
      <c r="E5" s="11">
        <v>220784</v>
      </c>
      <c r="G5" s="1"/>
      <c r="H5" s="4"/>
      <c r="I5" s="8" t="s">
        <v>9</v>
      </c>
      <c r="J5" s="9" t="s">
        <v>10</v>
      </c>
    </row>
    <row r="6" spans="1:14" ht="14.4" x14ac:dyDescent="0.3">
      <c r="A6" t="s">
        <v>11</v>
      </c>
      <c r="B6" t="s">
        <v>5</v>
      </c>
      <c r="C6">
        <v>0</v>
      </c>
      <c r="D6">
        <v>22546</v>
      </c>
      <c r="G6" s="1"/>
      <c r="H6" s="6" t="s">
        <v>5</v>
      </c>
      <c r="I6" s="5">
        <f>AVERAGE(D2:D10)</f>
        <v>22125.375</v>
      </c>
      <c r="J6" s="10">
        <f>_xlfn.STDEV.S(D2:D10)</f>
        <v>6344.0757952934782</v>
      </c>
    </row>
    <row r="7" spans="1:14" ht="14.4" x14ac:dyDescent="0.3">
      <c r="A7" t="s">
        <v>12</v>
      </c>
      <c r="B7" t="s">
        <v>5</v>
      </c>
      <c r="C7">
        <v>0</v>
      </c>
      <c r="D7">
        <v>32644</v>
      </c>
      <c r="G7" s="1"/>
      <c r="H7" s="6" t="s">
        <v>13</v>
      </c>
      <c r="I7" s="5">
        <f>AVERAGE(D11:D22)</f>
        <v>66658.666666666672</v>
      </c>
      <c r="J7" s="10">
        <f>_xlfn.STDEV.S(D11:D22)</f>
        <v>49988.023795402201</v>
      </c>
    </row>
    <row r="8" spans="1:14" ht="14.4" x14ac:dyDescent="0.3">
      <c r="A8" t="s">
        <v>14</v>
      </c>
      <c r="B8" t="s">
        <v>5</v>
      </c>
      <c r="C8">
        <v>0</v>
      </c>
      <c r="D8">
        <v>25226</v>
      </c>
      <c r="G8" s="1"/>
      <c r="H8" s="7" t="s">
        <v>15</v>
      </c>
      <c r="I8" s="5">
        <f>AVERAGE(D23:D31)</f>
        <v>95389.222222222219</v>
      </c>
      <c r="J8" s="10">
        <f>_xlfn.STDEV.S(D23:D31)</f>
        <v>65785.866659902298</v>
      </c>
    </row>
    <row r="9" spans="1:14" ht="14.4" x14ac:dyDescent="0.3">
      <c r="A9" t="s">
        <v>16</v>
      </c>
      <c r="B9" t="s">
        <v>5</v>
      </c>
      <c r="C9">
        <v>0</v>
      </c>
      <c r="D9">
        <v>11927</v>
      </c>
      <c r="G9" s="1"/>
      <c r="H9" s="6" t="s">
        <v>17</v>
      </c>
      <c r="I9" s="5">
        <f>AVERAGE(D32:D42)</f>
        <v>65720.909090909088</v>
      </c>
      <c r="J9" s="10">
        <f>_xlfn.STDEV.S(D32:D42)</f>
        <v>47895.153962493001</v>
      </c>
      <c r="N9" s="1"/>
    </row>
    <row r="10" spans="1:14" ht="14.4" x14ac:dyDescent="0.3">
      <c r="A10" t="s">
        <v>18</v>
      </c>
      <c r="B10" t="s">
        <v>5</v>
      </c>
      <c r="C10">
        <v>0</v>
      </c>
      <c r="D10">
        <v>20302</v>
      </c>
      <c r="G10" s="1"/>
      <c r="H10" s="6" t="s">
        <v>19</v>
      </c>
      <c r="I10" s="5">
        <f>AVERAGE(D43:D56)</f>
        <v>87392.357142857145</v>
      </c>
      <c r="J10" s="10">
        <f>_xlfn.STDEV.S(D43:D56)</f>
        <v>74136.100430333419</v>
      </c>
    </row>
    <row r="11" spans="1:14" ht="14.4" x14ac:dyDescent="0.3">
      <c r="A11" s="3" t="s">
        <v>20</v>
      </c>
      <c r="B11" s="3" t="s">
        <v>21</v>
      </c>
      <c r="C11" s="3">
        <v>1</v>
      </c>
      <c r="D11" s="3">
        <v>182270</v>
      </c>
      <c r="G11" s="1"/>
    </row>
    <row r="12" spans="1:14" ht="14.4" x14ac:dyDescent="0.3">
      <c r="A12" t="s">
        <v>22</v>
      </c>
      <c r="B12" t="s">
        <v>21</v>
      </c>
      <c r="C12">
        <v>1</v>
      </c>
      <c r="D12">
        <v>85052</v>
      </c>
      <c r="G12" s="1"/>
    </row>
    <row r="13" spans="1:14" ht="14.4" x14ac:dyDescent="0.3">
      <c r="A13" t="s">
        <v>23</v>
      </c>
      <c r="B13" t="s">
        <v>21</v>
      </c>
      <c r="C13">
        <v>1</v>
      </c>
      <c r="D13">
        <v>32773</v>
      </c>
      <c r="G13" s="1"/>
    </row>
    <row r="14" spans="1:14" ht="14.4" x14ac:dyDescent="0.3">
      <c r="A14" t="s">
        <v>24</v>
      </c>
      <c r="B14" t="s">
        <v>21</v>
      </c>
      <c r="C14">
        <v>1</v>
      </c>
      <c r="D14">
        <v>36732</v>
      </c>
      <c r="G14" s="1"/>
    </row>
    <row r="15" spans="1:14" ht="14.4" x14ac:dyDescent="0.3">
      <c r="A15" t="s">
        <v>25</v>
      </c>
      <c r="B15" t="s">
        <v>21</v>
      </c>
      <c r="C15">
        <v>1</v>
      </c>
      <c r="D15">
        <v>23044</v>
      </c>
      <c r="G15" s="1"/>
    </row>
    <row r="16" spans="1:14" ht="14.4" x14ac:dyDescent="0.3">
      <c r="A16" t="s">
        <v>26</v>
      </c>
      <c r="B16" t="s">
        <v>21</v>
      </c>
      <c r="C16">
        <v>1</v>
      </c>
      <c r="D16">
        <v>73870</v>
      </c>
      <c r="G16" s="1"/>
    </row>
    <row r="17" spans="1:7" ht="14.4" x14ac:dyDescent="0.3">
      <c r="A17" t="s">
        <v>27</v>
      </c>
      <c r="B17" t="s">
        <v>21</v>
      </c>
      <c r="C17">
        <v>1</v>
      </c>
      <c r="D17">
        <v>43501</v>
      </c>
      <c r="G17" s="1"/>
    </row>
    <row r="18" spans="1:7" ht="14.4" x14ac:dyDescent="0.3">
      <c r="A18" t="s">
        <v>28</v>
      </c>
      <c r="B18" t="s">
        <v>21</v>
      </c>
      <c r="C18">
        <v>1</v>
      </c>
      <c r="D18">
        <v>43891</v>
      </c>
      <c r="G18" s="1"/>
    </row>
    <row r="19" spans="1:7" ht="14.4" x14ac:dyDescent="0.3">
      <c r="A19" t="s">
        <v>29</v>
      </c>
      <c r="B19" t="s">
        <v>21</v>
      </c>
      <c r="C19">
        <v>1</v>
      </c>
      <c r="D19">
        <v>65865</v>
      </c>
      <c r="G19" s="1"/>
    </row>
    <row r="20" spans="1:7" ht="14.4" x14ac:dyDescent="0.3">
      <c r="A20" t="s">
        <v>30</v>
      </c>
      <c r="B20" t="s">
        <v>21</v>
      </c>
      <c r="C20">
        <v>1</v>
      </c>
      <c r="D20">
        <v>26871</v>
      </c>
      <c r="G20" s="1"/>
    </row>
    <row r="21" spans="1:7" ht="14.4" x14ac:dyDescent="0.3">
      <c r="A21" t="s">
        <v>31</v>
      </c>
      <c r="B21" t="s">
        <v>21</v>
      </c>
      <c r="C21">
        <v>1</v>
      </c>
      <c r="D21">
        <v>39368</v>
      </c>
    </row>
    <row r="22" spans="1:7" ht="14.4" x14ac:dyDescent="0.3">
      <c r="A22" t="s">
        <v>32</v>
      </c>
      <c r="B22" t="s">
        <v>21</v>
      </c>
      <c r="C22">
        <v>1</v>
      </c>
      <c r="D22">
        <v>146667</v>
      </c>
    </row>
    <row r="23" spans="1:7" ht="14.4" x14ac:dyDescent="0.3">
      <c r="A23" s="3" t="s">
        <v>33</v>
      </c>
      <c r="B23" s="3" t="s">
        <v>34</v>
      </c>
      <c r="C23" s="3">
        <v>1</v>
      </c>
      <c r="D23" s="3">
        <v>129003</v>
      </c>
    </row>
    <row r="24" spans="1:7" ht="14.4" x14ac:dyDescent="0.3">
      <c r="A24" t="s">
        <v>35</v>
      </c>
      <c r="B24" t="s">
        <v>34</v>
      </c>
      <c r="C24">
        <v>1</v>
      </c>
      <c r="D24">
        <v>28424</v>
      </c>
    </row>
    <row r="25" spans="1:7" ht="14.4" x14ac:dyDescent="0.3">
      <c r="A25" t="s">
        <v>36</v>
      </c>
      <c r="B25" t="s">
        <v>34</v>
      </c>
      <c r="C25">
        <v>1</v>
      </c>
      <c r="D25">
        <v>144632</v>
      </c>
    </row>
    <row r="26" spans="1:7" ht="14.4" x14ac:dyDescent="0.3">
      <c r="A26" t="s">
        <v>37</v>
      </c>
      <c r="B26" t="s">
        <v>34</v>
      </c>
      <c r="C26">
        <v>1</v>
      </c>
      <c r="D26">
        <v>195944</v>
      </c>
    </row>
    <row r="27" spans="1:7" ht="14.4" x14ac:dyDescent="0.3">
      <c r="A27" t="s">
        <v>38</v>
      </c>
      <c r="B27" t="s">
        <v>34</v>
      </c>
      <c r="C27">
        <v>1</v>
      </c>
      <c r="D27">
        <v>119639</v>
      </c>
    </row>
    <row r="28" spans="1:7" ht="14.4" x14ac:dyDescent="0.3">
      <c r="A28" t="s">
        <v>39</v>
      </c>
      <c r="B28" t="s">
        <v>34</v>
      </c>
      <c r="C28">
        <v>1</v>
      </c>
      <c r="D28">
        <v>148786</v>
      </c>
    </row>
    <row r="29" spans="1:7" ht="14.4" x14ac:dyDescent="0.3">
      <c r="A29" t="s">
        <v>40</v>
      </c>
      <c r="B29" t="s">
        <v>34</v>
      </c>
      <c r="C29">
        <v>1</v>
      </c>
      <c r="D29">
        <v>45706</v>
      </c>
    </row>
    <row r="30" spans="1:7" ht="14.4" x14ac:dyDescent="0.3">
      <c r="A30" t="s">
        <v>41</v>
      </c>
      <c r="B30" t="s">
        <v>34</v>
      </c>
      <c r="C30">
        <v>1</v>
      </c>
      <c r="D30">
        <v>14903</v>
      </c>
    </row>
    <row r="31" spans="1:7" ht="14.4" x14ac:dyDescent="0.3">
      <c r="A31" t="s">
        <v>42</v>
      </c>
      <c r="B31" t="s">
        <v>34</v>
      </c>
      <c r="C31">
        <v>1</v>
      </c>
      <c r="D31">
        <v>31466</v>
      </c>
    </row>
    <row r="32" spans="1:7" ht="14.4" x14ac:dyDescent="0.3">
      <c r="A32" s="3" t="s">
        <v>43</v>
      </c>
      <c r="B32" s="3" t="s">
        <v>21</v>
      </c>
      <c r="C32" s="3">
        <v>2</v>
      </c>
      <c r="D32" s="3">
        <v>161408</v>
      </c>
    </row>
    <row r="33" spans="1:4" ht="14.4" x14ac:dyDescent="0.3">
      <c r="A33" t="s">
        <v>44</v>
      </c>
      <c r="B33" t="s">
        <v>21</v>
      </c>
      <c r="C33">
        <v>2</v>
      </c>
      <c r="D33">
        <v>94274</v>
      </c>
    </row>
    <row r="34" spans="1:4" ht="14.4" x14ac:dyDescent="0.3">
      <c r="A34" t="s">
        <v>45</v>
      </c>
      <c r="B34" t="s">
        <v>21</v>
      </c>
      <c r="C34">
        <v>2</v>
      </c>
      <c r="D34">
        <v>27912</v>
      </c>
    </row>
    <row r="35" spans="1:4" ht="14.4" x14ac:dyDescent="0.3">
      <c r="A35" t="s">
        <v>46</v>
      </c>
      <c r="B35" t="s">
        <v>21</v>
      </c>
      <c r="C35">
        <v>2</v>
      </c>
      <c r="D35">
        <v>137639</v>
      </c>
    </row>
    <row r="36" spans="1:4" ht="14.4" x14ac:dyDescent="0.3">
      <c r="A36" t="s">
        <v>47</v>
      </c>
      <c r="B36" t="s">
        <v>21</v>
      </c>
      <c r="C36">
        <v>2</v>
      </c>
      <c r="D36">
        <v>34900</v>
      </c>
    </row>
    <row r="37" spans="1:4" ht="14.4" x14ac:dyDescent="0.3">
      <c r="A37" t="s">
        <v>48</v>
      </c>
      <c r="B37" t="s">
        <v>21</v>
      </c>
      <c r="C37">
        <v>2</v>
      </c>
      <c r="D37">
        <v>17478</v>
      </c>
    </row>
    <row r="38" spans="1:4" ht="14.4" x14ac:dyDescent="0.3">
      <c r="A38" t="s">
        <v>49</v>
      </c>
      <c r="B38" t="s">
        <v>21</v>
      </c>
      <c r="C38">
        <v>2</v>
      </c>
      <c r="D38">
        <v>37922</v>
      </c>
    </row>
    <row r="39" spans="1:4" ht="14.4" x14ac:dyDescent="0.3">
      <c r="A39" t="s">
        <v>50</v>
      </c>
      <c r="B39" t="s">
        <v>21</v>
      </c>
      <c r="C39">
        <v>2</v>
      </c>
      <c r="D39">
        <v>42094</v>
      </c>
    </row>
    <row r="40" spans="1:4" ht="14.4" x14ac:dyDescent="0.3">
      <c r="A40" t="s">
        <v>51</v>
      </c>
      <c r="B40" t="s">
        <v>21</v>
      </c>
      <c r="C40">
        <v>2</v>
      </c>
      <c r="D40">
        <v>87993</v>
      </c>
    </row>
    <row r="41" spans="1:4" ht="14.4" x14ac:dyDescent="0.3">
      <c r="A41" t="s">
        <v>52</v>
      </c>
      <c r="B41" t="s">
        <v>21</v>
      </c>
      <c r="C41">
        <v>2</v>
      </c>
      <c r="D41">
        <v>39001</v>
      </c>
    </row>
    <row r="42" spans="1:4" ht="14.4" x14ac:dyDescent="0.3">
      <c r="A42" t="s">
        <v>53</v>
      </c>
      <c r="B42" t="s">
        <v>21</v>
      </c>
      <c r="C42">
        <v>2</v>
      </c>
      <c r="D42">
        <v>42309</v>
      </c>
    </row>
    <row r="43" spans="1:4" ht="14.4" x14ac:dyDescent="0.3">
      <c r="A43" s="3" t="s">
        <v>54</v>
      </c>
      <c r="B43" s="3" t="s">
        <v>34</v>
      </c>
      <c r="C43" s="3">
        <v>2</v>
      </c>
      <c r="D43" s="3">
        <v>138756</v>
      </c>
    </row>
    <row r="44" spans="1:4" ht="14.4" x14ac:dyDescent="0.3">
      <c r="A44" t="s">
        <v>55</v>
      </c>
      <c r="B44" t="s">
        <v>34</v>
      </c>
      <c r="C44">
        <v>2</v>
      </c>
      <c r="D44">
        <v>227388</v>
      </c>
    </row>
    <row r="45" spans="1:4" ht="14.4" x14ac:dyDescent="0.3">
      <c r="A45" t="s">
        <v>56</v>
      </c>
      <c r="B45" t="s">
        <v>34</v>
      </c>
      <c r="C45">
        <v>2</v>
      </c>
      <c r="D45">
        <v>81622</v>
      </c>
    </row>
    <row r="46" spans="1:4" ht="14.4" x14ac:dyDescent="0.3">
      <c r="A46" t="s">
        <v>57</v>
      </c>
      <c r="B46" t="s">
        <v>34</v>
      </c>
      <c r="C46">
        <v>2</v>
      </c>
      <c r="D46">
        <v>221833</v>
      </c>
    </row>
    <row r="47" spans="1:4" ht="14.4" x14ac:dyDescent="0.3">
      <c r="A47" t="s">
        <v>58</v>
      </c>
      <c r="B47" t="s">
        <v>34</v>
      </c>
      <c r="C47">
        <v>2</v>
      </c>
      <c r="D47">
        <v>34780</v>
      </c>
    </row>
    <row r="48" spans="1:4" ht="14.4" x14ac:dyDescent="0.3">
      <c r="A48" t="s">
        <v>59</v>
      </c>
      <c r="B48" t="s">
        <v>34</v>
      </c>
      <c r="C48">
        <v>2</v>
      </c>
      <c r="D48">
        <v>34060</v>
      </c>
    </row>
    <row r="49" spans="1:4" ht="14.4" x14ac:dyDescent="0.3">
      <c r="A49" t="s">
        <v>60</v>
      </c>
      <c r="B49" t="s">
        <v>34</v>
      </c>
      <c r="C49">
        <v>2</v>
      </c>
      <c r="D49">
        <v>30409</v>
      </c>
    </row>
    <row r="50" spans="1:4" ht="14.4" x14ac:dyDescent="0.3">
      <c r="A50" t="s">
        <v>61</v>
      </c>
      <c r="B50" t="s">
        <v>34</v>
      </c>
      <c r="C50">
        <v>2</v>
      </c>
      <c r="D50">
        <v>21443</v>
      </c>
    </row>
    <row r="51" spans="1:4" ht="14.4" x14ac:dyDescent="0.3">
      <c r="A51" t="s">
        <v>62</v>
      </c>
      <c r="B51" t="s">
        <v>34</v>
      </c>
      <c r="C51">
        <v>2</v>
      </c>
      <c r="D51">
        <v>57522</v>
      </c>
    </row>
    <row r="52" spans="1:4" ht="14.4" x14ac:dyDescent="0.3">
      <c r="A52" t="s">
        <v>63</v>
      </c>
      <c r="B52" t="s">
        <v>34</v>
      </c>
      <c r="C52">
        <v>2</v>
      </c>
      <c r="D52">
        <v>30228</v>
      </c>
    </row>
    <row r="53" spans="1:4" ht="14.4" x14ac:dyDescent="0.3">
      <c r="A53" t="s">
        <v>64</v>
      </c>
      <c r="B53" t="s">
        <v>34</v>
      </c>
      <c r="C53">
        <v>2</v>
      </c>
      <c r="D53">
        <v>59028</v>
      </c>
    </row>
    <row r="54" spans="1:4" ht="14.4" x14ac:dyDescent="0.3">
      <c r="A54" t="s">
        <v>65</v>
      </c>
      <c r="B54" t="s">
        <v>34</v>
      </c>
      <c r="C54">
        <v>2</v>
      </c>
      <c r="D54">
        <v>183982</v>
      </c>
    </row>
    <row r="55" spans="1:4" ht="14.4" x14ac:dyDescent="0.3">
      <c r="A55" t="s">
        <v>66</v>
      </c>
      <c r="B55" t="s">
        <v>34</v>
      </c>
      <c r="C55">
        <v>2</v>
      </c>
      <c r="D55">
        <v>29019</v>
      </c>
    </row>
    <row r="56" spans="1:4" ht="14.4" x14ac:dyDescent="0.3">
      <c r="A56" t="s">
        <v>67</v>
      </c>
      <c r="B56" t="s">
        <v>34</v>
      </c>
      <c r="C56">
        <v>2</v>
      </c>
      <c r="D56">
        <v>73423</v>
      </c>
    </row>
    <row r="57" spans="1:4" ht="14.4" x14ac:dyDescent="0.3"/>
    <row r="58" spans="1:4" ht="14.4" x14ac:dyDescent="0.3"/>
    <row r="59" spans="1:4" ht="14.4" x14ac:dyDescent="0.3"/>
    <row r="60" spans="1:4" ht="14.4" x14ac:dyDescent="0.3"/>
    <row r="61" spans="1:4" ht="14.4" x14ac:dyDescent="0.3"/>
    <row r="62" spans="1:4" ht="14.4" x14ac:dyDescent="0.3">
      <c r="C62" s="2"/>
    </row>
    <row r="63" spans="1:4" ht="14.4" x14ac:dyDescent="0.3">
      <c r="C63" s="2"/>
    </row>
    <row r="64" spans="1:4" ht="14.4" x14ac:dyDescent="0.3">
      <c r="C64" s="2"/>
    </row>
    <row r="65" spans="3:3" ht="14.4" x14ac:dyDescent="0.3">
      <c r="C65" s="2"/>
    </row>
    <row r="66" spans="3:3" ht="14.4" x14ac:dyDescent="0.3">
      <c r="C66" s="2"/>
    </row>
    <row r="67" spans="3:3" ht="14.4" x14ac:dyDescent="0.3">
      <c r="C67" s="2"/>
    </row>
    <row r="68" spans="3:3" ht="14.4" x14ac:dyDescent="0.3">
      <c r="C68" s="2"/>
    </row>
    <row r="69" spans="3:3" ht="14.4" x14ac:dyDescent="0.3">
      <c r="C69" s="2"/>
    </row>
    <row r="70" spans="3:3" ht="14.4" x14ac:dyDescent="0.3">
      <c r="C70" s="2"/>
    </row>
    <row r="71" spans="3:3" ht="14.4" x14ac:dyDescent="0.3">
      <c r="C71" s="2"/>
    </row>
    <row r="72" spans="3:3" ht="14.4" x14ac:dyDescent="0.3">
      <c r="C72" s="2"/>
    </row>
    <row r="73" spans="3:3" ht="14.4" x14ac:dyDescent="0.3">
      <c r="C73" s="2"/>
    </row>
    <row r="74" spans="3:3" ht="14.4" x14ac:dyDescent="0.3">
      <c r="C74" s="2"/>
    </row>
    <row r="75" spans="3:3" ht="14.4" x14ac:dyDescent="0.3">
      <c r="C75" s="2"/>
    </row>
    <row r="76" spans="3:3" ht="14.4" x14ac:dyDescent="0.3">
      <c r="C76" s="2"/>
    </row>
    <row r="77" spans="3:3" ht="14.4" x14ac:dyDescent="0.3">
      <c r="C77" s="2"/>
    </row>
    <row r="78" spans="3:3" ht="14.4" x14ac:dyDescent="0.3">
      <c r="C78" s="2"/>
    </row>
    <row r="79" spans="3:3" ht="14.4" x14ac:dyDescent="0.3">
      <c r="C79" s="2"/>
    </row>
    <row r="80" spans="3:3" ht="15" customHeight="1" x14ac:dyDescent="0.3">
      <c r="C80" s="2"/>
    </row>
    <row r="81" spans="3:3" ht="15" customHeight="1" x14ac:dyDescent="0.3">
      <c r="C81" s="2"/>
    </row>
    <row r="82" spans="3:3" ht="15" customHeight="1" x14ac:dyDescent="0.3">
      <c r="C82" s="2"/>
    </row>
    <row r="83" spans="3:3" ht="15" customHeight="1" x14ac:dyDescent="0.3">
      <c r="C83" s="2"/>
    </row>
    <row r="84" spans="3:3" ht="15" customHeight="1" x14ac:dyDescent="0.3">
      <c r="C84" s="2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de Araújo Caetano</dc:creator>
  <cp:keywords/>
  <dc:description/>
  <cp:lastModifiedBy>André de Araújo Caetano</cp:lastModifiedBy>
  <cp:revision/>
  <dcterms:created xsi:type="dcterms:W3CDTF">2015-06-05T18:19:34Z</dcterms:created>
  <dcterms:modified xsi:type="dcterms:W3CDTF">2025-10-13T12:16:21Z</dcterms:modified>
  <cp:category/>
  <cp:contentStatus/>
</cp:coreProperties>
</file>