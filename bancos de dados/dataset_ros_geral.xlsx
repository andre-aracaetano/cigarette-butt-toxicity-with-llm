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howObjects="none"/>
  <mc:AlternateContent xmlns:mc="http://schemas.openxmlformats.org/markup-compatibility/2006">
    <mc:Choice Requires="x15">
      <x15ac:absPath xmlns:x15ac="http://schemas.microsoft.com/office/spreadsheetml/2010/11/ac" url="https://ilumcnpem-my.sharepoint.com/personal/andre23035_ilum_cnpem_br/Documents/Documentos/TCC/ROS/"/>
    </mc:Choice>
  </mc:AlternateContent>
  <xr:revisionPtr revIDLastSave="1328" documentId="14_{DF65B0A5-FF84-431C-8EE5-309AEDBEE07B}" xr6:coauthVersionLast="47" xr6:coauthVersionMax="47" xr10:uidLastSave="{ED28BB3F-53A6-46CE-B7D0-B73871C3445E}"/>
  <bookViews>
    <workbookView xWindow="-108" yWindow="-108" windowWidth="23256" windowHeight="12456" activeTab="1" xr2:uid="{00000000-000D-0000-FFFF-FFFF00000000}"/>
  </bookViews>
  <sheets>
    <sheet name="Plan1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11" i="1"/>
  <c r="I8" i="1"/>
  <c r="J8" i="1"/>
  <c r="J9" i="1"/>
  <c r="I7" i="1"/>
  <c r="J7" i="1"/>
  <c r="I23" i="1"/>
  <c r="I19" i="1"/>
  <c r="J23" i="1"/>
  <c r="J25" i="1"/>
  <c r="I25" i="1"/>
  <c r="J24" i="1"/>
  <c r="I24" i="1"/>
  <c r="J21" i="1"/>
  <c r="I21" i="1"/>
  <c r="J20" i="1"/>
  <c r="I20" i="1"/>
  <c r="J19" i="1"/>
  <c r="J6" i="1"/>
  <c r="I9" i="1"/>
  <c r="J12" i="1"/>
  <c r="J11" i="1"/>
  <c r="J10" i="1"/>
  <c r="I12" i="1"/>
  <c r="I10" i="1"/>
</calcChain>
</file>

<file path=xl/sharedStrings.xml><?xml version="1.0" encoding="utf-8"?>
<sst xmlns="http://schemas.openxmlformats.org/spreadsheetml/2006/main" count="355" uniqueCount="151">
  <si>
    <t>sample</t>
  </si>
  <si>
    <t>type</t>
  </si>
  <si>
    <t>concentration</t>
  </si>
  <si>
    <t>intensity</t>
  </si>
  <si>
    <t>Snap-13</t>
  </si>
  <si>
    <t>control</t>
  </si>
  <si>
    <t>Snap-15</t>
  </si>
  <si>
    <t>Snap-17</t>
  </si>
  <si>
    <t>Snap-19</t>
  </si>
  <si>
    <t>média</t>
  </si>
  <si>
    <t>desvio padrão</t>
  </si>
  <si>
    <t>Snap-22</t>
  </si>
  <si>
    <t>Snap-24</t>
  </si>
  <si>
    <t>BCT 0.5</t>
  </si>
  <si>
    <t>Snap-26</t>
  </si>
  <si>
    <t>BST 0.5</t>
  </si>
  <si>
    <t>Snap-28</t>
  </si>
  <si>
    <t>BCT 1</t>
  </si>
  <si>
    <t>Snap-30</t>
  </si>
  <si>
    <t>BST 1</t>
  </si>
  <si>
    <t>Snap-181-Image Export-02.tif</t>
  </si>
  <si>
    <t>BCT</t>
  </si>
  <si>
    <t>BCT 2</t>
  </si>
  <si>
    <t>Snap-183-Image Export-03.tif</t>
  </si>
  <si>
    <t>BST 2</t>
  </si>
  <si>
    <t>Snap-186-Image Export-04.tif</t>
  </si>
  <si>
    <t>Snap-189-Image Export-05.tif</t>
  </si>
  <si>
    <t>Snap-192-Image Export-06.tif</t>
  </si>
  <si>
    <t>Snap-194-Image Export-07.tif</t>
  </si>
  <si>
    <t>Snap-196-Image Export-08.tif</t>
  </si>
  <si>
    <t>Snap-197-Image Export-09.tif</t>
  </si>
  <si>
    <t>Snap-198-Image Export-10.tif</t>
  </si>
  <si>
    <t>controle2</t>
  </si>
  <si>
    <t>Snap-200-Image Export-12.tif</t>
  </si>
  <si>
    <t>Snap-167-Image Export-16.tif</t>
  </si>
  <si>
    <t>BST</t>
  </si>
  <si>
    <t>Snap-168-Image Export-17.tif</t>
  </si>
  <si>
    <t>Snap-169-Image Export-18.tif</t>
  </si>
  <si>
    <t>controle x</t>
  </si>
  <si>
    <t>Snap-170-Image Export-19.tif</t>
  </si>
  <si>
    <t>BCT 0.5 x</t>
  </si>
  <si>
    <t>Snap-171-Image Export-20.tif</t>
  </si>
  <si>
    <t>BST 0.5 x</t>
  </si>
  <si>
    <t>Snap-172-Image Export-21.tif</t>
  </si>
  <si>
    <t>Snap-174-Image Export-22.tif</t>
  </si>
  <si>
    <t>Snap-176-Image Export-23.tif</t>
  </si>
  <si>
    <t>Snap-178-Image Export-24.tif</t>
  </si>
  <si>
    <t>Snap-179-Image Export-25.tif</t>
  </si>
  <si>
    <t>Snap-108</t>
  </si>
  <si>
    <t>Snap-112</t>
  </si>
  <si>
    <t>Snap-113</t>
  </si>
  <si>
    <t>Snap-116</t>
  </si>
  <si>
    <t>Snap-117</t>
  </si>
  <si>
    <t>Snap-122</t>
  </si>
  <si>
    <t>Snap-123</t>
  </si>
  <si>
    <t>Snap-126</t>
  </si>
  <si>
    <t>Snap-127</t>
  </si>
  <si>
    <t>Snap-130</t>
  </si>
  <si>
    <t>Snap-131</t>
  </si>
  <si>
    <t>Snap-134</t>
  </si>
  <si>
    <t>Snap-102</t>
  </si>
  <si>
    <t>Snap-106</t>
  </si>
  <si>
    <t>Snap-80</t>
  </si>
  <si>
    <t>Snap-84</t>
  </si>
  <si>
    <t>Snap-85</t>
  </si>
  <si>
    <t>Snap-89</t>
  </si>
  <si>
    <t>Snap-93</t>
  </si>
  <si>
    <t>Snap-97</t>
  </si>
  <si>
    <t>Snap-99</t>
  </si>
  <si>
    <t>Snap-53</t>
  </si>
  <si>
    <t>Snap-58</t>
  </si>
  <si>
    <t>Snap-59</t>
  </si>
  <si>
    <t>Snap-63</t>
  </si>
  <si>
    <t>Snap-64</t>
  </si>
  <si>
    <t>Snap-67</t>
  </si>
  <si>
    <t>Snap-68</t>
  </si>
  <si>
    <t>Snap-71</t>
  </si>
  <si>
    <t>Snap-73</t>
  </si>
  <si>
    <t>Snap-74</t>
  </si>
  <si>
    <t>Snap-77</t>
  </si>
  <si>
    <t>Snap-06</t>
  </si>
  <si>
    <t>Snap-07</t>
  </si>
  <si>
    <t>Snap-08</t>
  </si>
  <si>
    <t>Snap-10</t>
  </si>
  <si>
    <t>Snap-33</t>
  </si>
  <si>
    <t>Snap-34</t>
  </si>
  <si>
    <t>Snap-36</t>
  </si>
  <si>
    <t>Snap-37</t>
  </si>
  <si>
    <t>Snap-41</t>
  </si>
  <si>
    <t>Snap-42</t>
  </si>
  <si>
    <t>Snap-44</t>
  </si>
  <si>
    <t>Snap-47</t>
  </si>
  <si>
    <t>Snap-49</t>
  </si>
  <si>
    <t>Snap-52</t>
  </si>
  <si>
    <t>DADOS DESCARTADOS</t>
  </si>
  <si>
    <t>Control</t>
  </si>
  <si>
    <t>ros  -  07/10/2025</t>
  </si>
  <si>
    <t>Snap-32</t>
  </si>
  <si>
    <t>Snap-38</t>
  </si>
  <si>
    <t>Snap-40</t>
  </si>
  <si>
    <t>0.5</t>
  </si>
  <si>
    <t>Snap-86</t>
  </si>
  <si>
    <t>Snap-88</t>
  </si>
  <si>
    <t>Snap-90</t>
  </si>
  <si>
    <t>Snap-91</t>
  </si>
  <si>
    <t>Snap-92</t>
  </si>
  <si>
    <t>Snap-95</t>
  </si>
  <si>
    <t>Snap-96</t>
  </si>
  <si>
    <t>Snap-43</t>
  </si>
  <si>
    <t>Snap-45</t>
  </si>
  <si>
    <t>Snap-51</t>
  </si>
  <si>
    <t>Snap-55</t>
  </si>
  <si>
    <t>Snap-56</t>
  </si>
  <si>
    <t>Snap-57</t>
  </si>
  <si>
    <t>Snap-60</t>
  </si>
  <si>
    <t>Snap-61</t>
  </si>
  <si>
    <t>Snap-133</t>
  </si>
  <si>
    <t>Snap-135</t>
  </si>
  <si>
    <t>Snap-138</t>
  </si>
  <si>
    <t>Snap-139</t>
  </si>
  <si>
    <t>Snap-141</t>
  </si>
  <si>
    <t>Snap-142</t>
  </si>
  <si>
    <t>Snap-143</t>
  </si>
  <si>
    <t>Snap-146</t>
  </si>
  <si>
    <t>Snap-115</t>
  </si>
  <si>
    <t>Snap-119</t>
  </si>
  <si>
    <t>Snap-120</t>
  </si>
  <si>
    <t>Snap-124</t>
  </si>
  <si>
    <t>Snap-125</t>
  </si>
  <si>
    <t>Snap-129</t>
  </si>
  <si>
    <t>Snap-101</t>
  </si>
  <si>
    <t>2</t>
  </si>
  <si>
    <t>Snap-105</t>
  </si>
  <si>
    <t>Snap-109</t>
  </si>
  <si>
    <t>Snap-110</t>
  </si>
  <si>
    <t>Snap-65</t>
  </si>
  <si>
    <t>Snap-69</t>
  </si>
  <si>
    <t>Snap-70</t>
  </si>
  <si>
    <t>Snap-76</t>
  </si>
  <si>
    <t>Snap-82</t>
  </si>
  <si>
    <t>Snap-149</t>
  </si>
  <si>
    <t>controle  -  17/11/2025</t>
  </si>
  <si>
    <t>Snap-152</t>
  </si>
  <si>
    <t>Snap-154</t>
  </si>
  <si>
    <t>Snap-156</t>
  </si>
  <si>
    <t>Snap-157</t>
  </si>
  <si>
    <t>Snap-158</t>
  </si>
  <si>
    <t>Snap-159</t>
  </si>
  <si>
    <t>Snap-160</t>
  </si>
  <si>
    <t>Snap-161</t>
  </si>
  <si>
    <t>Snap-163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</si>
</sst>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4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4" borderId="0" xfId="0" applyFont="1" applyFill="1"/>
    <xf numFmtId="0" fontId="2" fillId="0" borderId="1" xfId="0" applyFont="1" applyBorder="1"/>
    <xf numFmtId="0" fontId="0" fillId="0" borderId="1" xfId="0" applyBorder="1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0" xfId="0" applyAlignment="1">
      <alignment horizontal="left" vertical="center"/>
    </xf>
    <xf numFmtId="0" fontId="2" fillId="0" borderId="2" xfId="0" applyFont="1" applyBorder="1"/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2" fillId="6" borderId="0" xfId="0" applyFont="1" applyFill="1"/>
    <xf numFmtId="0" fontId="2" fillId="6" borderId="2" xfId="0" applyFont="1" applyFill="1" applyBorder="1"/>
    <xf numFmtId="0" fontId="0" fillId="6" borderId="0" xfId="0" applyFill="1"/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3" fontId="0" fillId="2" borderId="6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2" fillId="7" borderId="0" xfId="0" applyFont="1" applyFill="1"/>
    <xf numFmtId="0" fontId="0" fillId="7" borderId="0" xfId="0" applyFill="1"/>
    <xf numFmtId="0" fontId="2" fillId="7" borderId="2" xfId="0" applyFont="1" applyFill="1" applyBorder="1"/>
    <xf numFmtId="0" fontId="0" fillId="7" borderId="2" xfId="0" applyFill="1" applyBorder="1"/>
    <xf numFmtId="49" fontId="0" fillId="0" borderId="2" xfId="0" applyNumberFormat="1" applyBorder="1" applyAlignment="1">
      <alignment horizontal="right"/>
    </xf>
    <xf numFmtId="0" fontId="0" fillId="4" borderId="0" xfId="0" applyFill="1" applyAlignment="1">
      <alignment horizontal="center" vertical="center" textRotation="180" wrapText="1"/>
    </xf>
    <xf numFmtId="0" fontId="0" fillId="4" borderId="0" xfId="0" applyFill="1" applyAlignment="1">
      <alignment horizontal="center" vertical="center" textRotation="180"/>
    </xf>
    <xf numFmtId="0" fontId="0" fillId="4" borderId="2" xfId="0" applyFill="1" applyBorder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Intensidade do ROS - 22/08/2025</a:t>
            </a:r>
          </a:p>
        </c:rich>
      </c:tx>
      <c:layout>
        <c:manualLayout>
          <c:xMode val="edge"/>
          <c:yMode val="edge"/>
          <c:x val="0.22572904501019711"/>
          <c:y val="3.47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4B084"/>
            </a:solidFill>
            <a:ln>
              <a:solidFill>
                <a:srgbClr val="C65911"/>
              </a:solidFill>
              <a:prstDash val="solid"/>
            </a:ln>
            <a:effectLst/>
          </c:spPr>
          <c:invertIfNegative val="0"/>
          <c:cat>
            <c:strRef>
              <c:f>Plan1!$H$6:$H$12</c:f>
              <c:strCache>
                <c:ptCount val="7"/>
                <c:pt idx="0">
                  <c:v>control</c:v>
                </c:pt>
                <c:pt idx="1">
                  <c:v>BCT 0.5</c:v>
                </c:pt>
                <c:pt idx="2">
                  <c:v>BST 0.5</c:v>
                </c:pt>
                <c:pt idx="3">
                  <c:v>BCT 1</c:v>
                </c:pt>
                <c:pt idx="4">
                  <c:v>BST 1</c:v>
                </c:pt>
                <c:pt idx="5">
                  <c:v>BCT 2</c:v>
                </c:pt>
                <c:pt idx="6">
                  <c:v>BST 2</c:v>
                </c:pt>
              </c:strCache>
            </c:strRef>
          </c:cat>
          <c:val>
            <c:numRef>
              <c:f>Plan1!$I$6:$I$12</c:f>
              <c:numCache>
                <c:formatCode>0</c:formatCode>
                <c:ptCount val="7"/>
                <c:pt idx="0">
                  <c:v>22125.375</c:v>
                </c:pt>
                <c:pt idx="1">
                  <c:v>51093.666666666664</c:v>
                </c:pt>
                <c:pt idx="2">
                  <c:v>52405.111111111109</c:v>
                </c:pt>
                <c:pt idx="3">
                  <c:v>66658.666666666672</c:v>
                </c:pt>
                <c:pt idx="4">
                  <c:v>95389.222222222219</c:v>
                </c:pt>
                <c:pt idx="5">
                  <c:v>65720.909090909088</c:v>
                </c:pt>
                <c:pt idx="6">
                  <c:v>87392.357142857145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3-4C48-9F5C-C978024CE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9435400"/>
        <c:axId val="909437448"/>
      </c:barChart>
      <c:catAx>
        <c:axId val="909435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437448"/>
        <c:crosses val="autoZero"/>
        <c:auto val="1"/>
        <c:lblAlgn val="ctr"/>
        <c:lblOffset val="100"/>
        <c:noMultiLvlLbl val="0"/>
      </c:catAx>
      <c:valAx>
        <c:axId val="909437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435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41</xdr:row>
      <xdr:rowOff>180975</xdr:rowOff>
    </xdr:from>
    <xdr:to>
      <xdr:col>10</xdr:col>
      <xdr:colOff>1419225</xdr:colOff>
      <xdr:row>56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FC01E8-414F-E685-019E-0BD8717B0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workbookViewId="0">
      <pane ySplit="1" topLeftCell="A3" activePane="bottomLeft" state="frozen"/>
      <selection pane="bottomLeft" activeCell="A76" sqref="A76"/>
    </sheetView>
  </sheetViews>
  <sheetFormatPr defaultRowHeight="15" customHeight="1" x14ac:dyDescent="0.3"/>
  <cols>
    <col min="1" max="2" width="14.33203125" customWidth="1"/>
    <col min="3" max="3" width="15.33203125" customWidth="1"/>
    <col min="4" max="4" width="15.6640625" customWidth="1"/>
    <col min="5" max="6" width="12.88671875" customWidth="1"/>
    <col min="7" max="7" width="11.6640625" customWidth="1"/>
    <col min="8" max="8" width="9.5546875" bestFit="1" customWidth="1"/>
    <col min="9" max="9" width="12.5546875" bestFit="1" customWidth="1"/>
    <col min="10" max="10" width="13.44140625" bestFit="1" customWidth="1"/>
    <col min="11" max="11" width="38.33203125" customWidth="1"/>
  </cols>
  <sheetData>
    <row r="1" spans="1:14" ht="14.4" x14ac:dyDescent="0.3">
      <c r="A1" t="s">
        <v>0</v>
      </c>
      <c r="B1" t="s">
        <v>1</v>
      </c>
      <c r="C1" t="s">
        <v>2</v>
      </c>
      <c r="D1" t="s">
        <v>3</v>
      </c>
    </row>
    <row r="2" spans="1:14" ht="14.4" x14ac:dyDescent="0.3">
      <c r="A2" t="s">
        <v>4</v>
      </c>
      <c r="B2" t="s">
        <v>5</v>
      </c>
      <c r="C2">
        <v>0</v>
      </c>
      <c r="D2">
        <v>27157</v>
      </c>
      <c r="G2" s="1"/>
      <c r="J2" s="1"/>
    </row>
    <row r="3" spans="1:14" ht="14.4" x14ac:dyDescent="0.3">
      <c r="A3" t="s">
        <v>6</v>
      </c>
      <c r="B3" t="s">
        <v>5</v>
      </c>
      <c r="C3">
        <v>0</v>
      </c>
      <c r="D3">
        <v>17222</v>
      </c>
      <c r="G3" s="18"/>
      <c r="J3" s="1"/>
    </row>
    <row r="4" spans="1:14" ht="14.4" x14ac:dyDescent="0.3">
      <c r="A4" t="s">
        <v>7</v>
      </c>
      <c r="B4" t="s">
        <v>5</v>
      </c>
      <c r="C4">
        <v>0</v>
      </c>
      <c r="D4">
        <v>19979</v>
      </c>
      <c r="G4" s="1"/>
      <c r="J4" s="1"/>
    </row>
    <row r="5" spans="1:14" ht="14.4" x14ac:dyDescent="0.3">
      <c r="A5" t="s">
        <v>8</v>
      </c>
      <c r="B5" t="s">
        <v>5</v>
      </c>
      <c r="C5">
        <v>0</v>
      </c>
      <c r="F5" s="6">
        <v>220784</v>
      </c>
      <c r="G5" s="1"/>
      <c r="H5" s="3"/>
      <c r="I5" s="31" t="s">
        <v>9</v>
      </c>
      <c r="J5" s="35" t="s">
        <v>10</v>
      </c>
    </row>
    <row r="6" spans="1:14" ht="14.4" x14ac:dyDescent="0.3">
      <c r="A6" t="s">
        <v>11</v>
      </c>
      <c r="B6" t="s">
        <v>5</v>
      </c>
      <c r="C6">
        <v>0</v>
      </c>
      <c r="D6">
        <v>22546</v>
      </c>
      <c r="G6" s="1"/>
      <c r="H6" s="29" t="s">
        <v>5</v>
      </c>
      <c r="I6" s="32">
        <f>AVERAGE(D2:D10)</f>
        <v>22125.375</v>
      </c>
      <c r="J6" s="26">
        <f>_xlfn.STDEV.S(D2:D10)</f>
        <v>6344.0757952934782</v>
      </c>
    </row>
    <row r="7" spans="1:14" ht="14.4" x14ac:dyDescent="0.3">
      <c r="A7" t="s">
        <v>12</v>
      </c>
      <c r="B7" t="s">
        <v>5</v>
      </c>
      <c r="C7">
        <v>0</v>
      </c>
      <c r="D7">
        <v>32644</v>
      </c>
      <c r="G7" s="1"/>
      <c r="H7" s="29" t="s">
        <v>13</v>
      </c>
      <c r="I7" s="33">
        <f>AVERAGE(D11:D20)</f>
        <v>51093.666666666664</v>
      </c>
      <c r="J7" s="27">
        <f>_xlfn.STDEV.S(D11:D20)</f>
        <v>36678.923171216462</v>
      </c>
    </row>
    <row r="8" spans="1:14" ht="14.4" x14ac:dyDescent="0.3">
      <c r="A8" t="s">
        <v>14</v>
      </c>
      <c r="B8" t="s">
        <v>5</v>
      </c>
      <c r="C8">
        <v>0</v>
      </c>
      <c r="D8">
        <v>25226</v>
      </c>
      <c r="G8" s="1"/>
      <c r="H8" s="29" t="s">
        <v>15</v>
      </c>
      <c r="I8" s="33">
        <f>AVERAGE(D21:D30)</f>
        <v>52405.111111111109</v>
      </c>
      <c r="J8" s="27">
        <f>_xlfn.STDEV.S(D21:D30)</f>
        <v>31005.159314396551</v>
      </c>
    </row>
    <row r="9" spans="1:14" ht="14.4" x14ac:dyDescent="0.3">
      <c r="A9" t="s">
        <v>16</v>
      </c>
      <c r="B9" t="s">
        <v>5</v>
      </c>
      <c r="C9">
        <v>0</v>
      </c>
      <c r="D9">
        <v>11927</v>
      </c>
      <c r="G9" s="1"/>
      <c r="H9" s="29" t="s">
        <v>17</v>
      </c>
      <c r="I9" s="33">
        <f>AVERAGE(D31:D42)</f>
        <v>66658.666666666672</v>
      </c>
      <c r="J9" s="27">
        <f>_xlfn.STDEV.S(D31:D42)</f>
        <v>49988.023795402201</v>
      </c>
      <c r="N9" s="1"/>
    </row>
    <row r="10" spans="1:14" ht="14.4" x14ac:dyDescent="0.3">
      <c r="A10" s="15" t="s">
        <v>18</v>
      </c>
      <c r="B10" s="15" t="s">
        <v>5</v>
      </c>
      <c r="C10" s="15">
        <v>0</v>
      </c>
      <c r="D10" s="15">
        <v>20302</v>
      </c>
      <c r="F10" s="18"/>
      <c r="G10" s="1"/>
      <c r="H10" s="30" t="s">
        <v>19</v>
      </c>
      <c r="I10" s="33">
        <f>AVERAGE(D43:D51)</f>
        <v>95389.222222222219</v>
      </c>
      <c r="J10" s="27">
        <f>_xlfn.STDEV.S(D43:D51)</f>
        <v>65785.866659902298</v>
      </c>
      <c r="N10" s="1"/>
    </row>
    <row r="11" spans="1:14" ht="14.4" x14ac:dyDescent="0.3">
      <c r="A11" s="7" t="s">
        <v>20</v>
      </c>
      <c r="B11" t="s">
        <v>21</v>
      </c>
      <c r="C11">
        <v>0.5</v>
      </c>
      <c r="D11">
        <v>20526</v>
      </c>
      <c r="E11" s="22">
        <v>31828</v>
      </c>
      <c r="G11" s="1"/>
      <c r="H11" s="29" t="s">
        <v>22</v>
      </c>
      <c r="I11" s="33">
        <f>AVERAGE(D52:D62)</f>
        <v>65720.909090909088</v>
      </c>
      <c r="J11" s="27">
        <f>_xlfn.STDEV.S(D52:D62)</f>
        <v>47895.153962493001</v>
      </c>
    </row>
    <row r="12" spans="1:14" ht="14.4" x14ac:dyDescent="0.3">
      <c r="A12" s="7" t="s">
        <v>23</v>
      </c>
      <c r="B12" t="s">
        <v>21</v>
      </c>
      <c r="C12">
        <v>0.5</v>
      </c>
      <c r="D12">
        <v>13584</v>
      </c>
      <c r="E12" s="22">
        <v>35439</v>
      </c>
      <c r="G12" s="1"/>
      <c r="H12" s="29" t="s">
        <v>24</v>
      </c>
      <c r="I12" s="34">
        <f>AVERAGE(D63:D76)</f>
        <v>87392.357142857145</v>
      </c>
      <c r="J12" s="28">
        <f>_xlfn.STDEV.S(D63:D76)</f>
        <v>74136.100430333419</v>
      </c>
    </row>
    <row r="13" spans="1:14" ht="14.4" x14ac:dyDescent="0.3">
      <c r="A13" s="7" t="s">
        <v>25</v>
      </c>
      <c r="B13" t="s">
        <v>21</v>
      </c>
      <c r="C13">
        <v>0.5</v>
      </c>
      <c r="D13">
        <v>98181</v>
      </c>
      <c r="E13" s="22">
        <v>173923</v>
      </c>
      <c r="G13" s="1"/>
      <c r="H13" s="23"/>
      <c r="I13" s="19"/>
      <c r="J13" s="19"/>
    </row>
    <row r="14" spans="1:14" ht="14.4" x14ac:dyDescent="0.3">
      <c r="A14" s="7" t="s">
        <v>26</v>
      </c>
      <c r="B14" t="s">
        <v>21</v>
      </c>
      <c r="C14">
        <v>0.5</v>
      </c>
      <c r="D14">
        <v>80403</v>
      </c>
      <c r="E14" s="22">
        <v>158129</v>
      </c>
      <c r="G14" s="1"/>
    </row>
    <row r="15" spans="1:14" ht="14.4" x14ac:dyDescent="0.3">
      <c r="A15" s="7" t="s">
        <v>27</v>
      </c>
      <c r="B15" t="s">
        <v>21</v>
      </c>
      <c r="C15">
        <v>0.5</v>
      </c>
      <c r="D15">
        <v>17428</v>
      </c>
      <c r="E15" s="22">
        <v>33419</v>
      </c>
      <c r="G15" s="1"/>
    </row>
    <row r="16" spans="1:14" ht="14.4" x14ac:dyDescent="0.3">
      <c r="A16" s="7" t="s">
        <v>28</v>
      </c>
      <c r="B16" t="s">
        <v>21</v>
      </c>
      <c r="C16">
        <v>0.5</v>
      </c>
      <c r="D16">
        <v>106681</v>
      </c>
      <c r="E16" s="22">
        <v>177939</v>
      </c>
      <c r="G16" s="1"/>
    </row>
    <row r="17" spans="1:10" ht="14.4" x14ac:dyDescent="0.3">
      <c r="A17" s="7" t="s">
        <v>29</v>
      </c>
      <c r="B17" t="s">
        <v>21</v>
      </c>
      <c r="C17">
        <v>0.5</v>
      </c>
      <c r="D17">
        <v>62203</v>
      </c>
      <c r="E17" s="22">
        <v>154595</v>
      </c>
      <c r="G17" s="1"/>
    </row>
    <row r="18" spans="1:10" ht="14.4" x14ac:dyDescent="0.3">
      <c r="A18" s="7" t="s">
        <v>30</v>
      </c>
      <c r="B18" t="s">
        <v>21</v>
      </c>
      <c r="C18">
        <v>0.5</v>
      </c>
      <c r="E18" s="22">
        <v>218891</v>
      </c>
      <c r="F18" s="6">
        <v>140658</v>
      </c>
      <c r="G18" s="1"/>
    </row>
    <row r="19" spans="1:10" ht="14.4" x14ac:dyDescent="0.3">
      <c r="A19" s="7" t="s">
        <v>31</v>
      </c>
      <c r="B19" t="s">
        <v>21</v>
      </c>
      <c r="C19">
        <v>0.5</v>
      </c>
      <c r="D19">
        <v>38888</v>
      </c>
      <c r="E19" s="22">
        <v>56590</v>
      </c>
      <c r="G19" s="1"/>
      <c r="H19" s="24" t="s">
        <v>32</v>
      </c>
      <c r="I19" s="19">
        <f>AVERAGE(Planilha1!D67:D76)</f>
        <v>123087.4</v>
      </c>
      <c r="J19" s="19">
        <f>_xlfn.STDEV.S(Planilha1!D67:D76)</f>
        <v>84140.423028279198</v>
      </c>
    </row>
    <row r="20" spans="1:10" ht="14.4" x14ac:dyDescent="0.3">
      <c r="A20" s="15" t="s">
        <v>33</v>
      </c>
      <c r="B20" s="15" t="s">
        <v>21</v>
      </c>
      <c r="C20" s="15">
        <v>0.5</v>
      </c>
      <c r="D20" s="17">
        <v>21949</v>
      </c>
      <c r="E20" s="21">
        <v>43278</v>
      </c>
      <c r="G20" s="1"/>
      <c r="H20" s="25" t="s">
        <v>13</v>
      </c>
      <c r="I20" s="19">
        <f>AVERAGE(D11:D20)</f>
        <v>51093.666666666664</v>
      </c>
      <c r="J20" s="19">
        <f>_xlfn.STDEV.S(D11:D20)</f>
        <v>36678.923171216462</v>
      </c>
    </row>
    <row r="21" spans="1:10" ht="14.4" x14ac:dyDescent="0.3">
      <c r="A21" t="s">
        <v>34</v>
      </c>
      <c r="B21" t="s">
        <v>35</v>
      </c>
      <c r="C21">
        <v>0.5</v>
      </c>
      <c r="D21" s="7">
        <v>56845</v>
      </c>
      <c r="E21" s="20">
        <v>77172</v>
      </c>
      <c r="G21" s="1"/>
      <c r="H21" s="24" t="s">
        <v>15</v>
      </c>
      <c r="I21" s="19">
        <f>AVERAGE(D21:D30)</f>
        <v>52405.111111111109</v>
      </c>
      <c r="J21" s="19">
        <f>_xlfn.STDEV.S(D21:D30)</f>
        <v>31005.159314396551</v>
      </c>
    </row>
    <row r="22" spans="1:10" ht="14.4" x14ac:dyDescent="0.3">
      <c r="A22" t="s">
        <v>36</v>
      </c>
      <c r="B22" t="s">
        <v>35</v>
      </c>
      <c r="C22">
        <v>0.5</v>
      </c>
      <c r="D22" s="7">
        <v>26746</v>
      </c>
      <c r="E22" s="20">
        <v>46790</v>
      </c>
      <c r="G22" s="1"/>
      <c r="H22" s="3"/>
      <c r="I22" s="4"/>
      <c r="J22" s="5"/>
    </row>
    <row r="23" spans="1:10" ht="14.4" x14ac:dyDescent="0.3">
      <c r="A23" t="s">
        <v>37</v>
      </c>
      <c r="B23" t="s">
        <v>35</v>
      </c>
      <c r="C23">
        <v>0.5</v>
      </c>
      <c r="D23">
        <v>52486</v>
      </c>
      <c r="E23" s="20">
        <v>66913</v>
      </c>
      <c r="G23" s="1"/>
      <c r="H23" s="24" t="s">
        <v>38</v>
      </c>
      <c r="I23" s="19">
        <f>AVERAGE(Planilha1!E67:E76)</f>
        <v>181285.7</v>
      </c>
      <c r="J23" s="19">
        <f>_xlfn.STDEV.S(Planilha1!E67:E76)</f>
        <v>117368.53038286425</v>
      </c>
    </row>
    <row r="24" spans="1:10" ht="14.4" x14ac:dyDescent="0.3">
      <c r="A24" t="s">
        <v>39</v>
      </c>
      <c r="B24" t="s">
        <v>35</v>
      </c>
      <c r="C24">
        <v>0.5</v>
      </c>
      <c r="D24">
        <v>53898</v>
      </c>
      <c r="E24" s="20">
        <v>67249</v>
      </c>
      <c r="G24" s="1"/>
      <c r="H24" s="25" t="s">
        <v>40</v>
      </c>
      <c r="I24" s="19">
        <f>AVERAGE(E11:E20)</f>
        <v>108403.1</v>
      </c>
      <c r="J24" s="19">
        <f>_xlfn.STDEV.S(E11:E20)</f>
        <v>74295.228313129235</v>
      </c>
    </row>
    <row r="25" spans="1:10" ht="14.4" x14ac:dyDescent="0.3">
      <c r="A25" t="s">
        <v>41</v>
      </c>
      <c r="B25" t="s">
        <v>35</v>
      </c>
      <c r="C25">
        <v>0.5</v>
      </c>
      <c r="D25">
        <v>22707</v>
      </c>
      <c r="E25" s="20">
        <v>38009</v>
      </c>
      <c r="G25" s="1"/>
      <c r="H25" s="24" t="s">
        <v>42</v>
      </c>
      <c r="I25" s="19">
        <f>AVERAGE(E21:E30)</f>
        <v>99270.399999999994</v>
      </c>
      <c r="J25" s="19">
        <f>_xlfn.STDEV.S(E21:E30)</f>
        <v>79351.589402551414</v>
      </c>
    </row>
    <row r="26" spans="1:10" ht="14.4" x14ac:dyDescent="0.3">
      <c r="A26" t="s">
        <v>43</v>
      </c>
      <c r="B26" t="s">
        <v>35</v>
      </c>
      <c r="C26">
        <v>0.5</v>
      </c>
      <c r="D26">
        <v>103288</v>
      </c>
      <c r="E26" s="20">
        <v>194615</v>
      </c>
      <c r="G26" s="1"/>
      <c r="H26" s="16"/>
      <c r="I26" s="4"/>
      <c r="J26" s="5"/>
    </row>
    <row r="27" spans="1:10" ht="14.4" x14ac:dyDescent="0.3">
      <c r="A27" t="s">
        <v>44</v>
      </c>
      <c r="B27" t="s">
        <v>35</v>
      </c>
      <c r="C27">
        <v>0.5</v>
      </c>
      <c r="E27" s="20">
        <v>281323</v>
      </c>
      <c r="F27" s="6">
        <v>192070</v>
      </c>
      <c r="G27" s="1"/>
      <c r="H27" s="16"/>
      <c r="I27" s="4"/>
      <c r="J27" s="5"/>
    </row>
    <row r="28" spans="1:10" ht="14.4" x14ac:dyDescent="0.3">
      <c r="A28" t="s">
        <v>45</v>
      </c>
      <c r="B28" t="s">
        <v>35</v>
      </c>
      <c r="C28">
        <v>0.5</v>
      </c>
      <c r="D28">
        <v>95866</v>
      </c>
      <c r="E28" s="20">
        <v>117833</v>
      </c>
      <c r="G28" s="1"/>
      <c r="H28" s="16"/>
      <c r="I28" s="4"/>
      <c r="J28" s="5"/>
    </row>
    <row r="29" spans="1:10" ht="14.4" x14ac:dyDescent="0.3">
      <c r="A29" t="s">
        <v>46</v>
      </c>
      <c r="B29" t="s">
        <v>35</v>
      </c>
      <c r="C29">
        <v>0.5</v>
      </c>
      <c r="D29">
        <v>12047</v>
      </c>
      <c r="E29" s="20">
        <v>36555</v>
      </c>
      <c r="G29" s="1"/>
      <c r="H29" s="16"/>
      <c r="I29" s="4"/>
      <c r="J29" s="5"/>
    </row>
    <row r="30" spans="1:10" ht="14.4" x14ac:dyDescent="0.3">
      <c r="A30" t="s">
        <v>47</v>
      </c>
      <c r="B30" t="s">
        <v>35</v>
      </c>
      <c r="C30">
        <v>0.5</v>
      </c>
      <c r="D30">
        <v>47763</v>
      </c>
      <c r="E30" s="20">
        <v>66245</v>
      </c>
      <c r="G30" s="1"/>
      <c r="H30" s="16"/>
      <c r="I30" s="4"/>
      <c r="J30" s="5"/>
    </row>
    <row r="31" spans="1:10" ht="14.4" x14ac:dyDescent="0.3">
      <c r="A31" s="2" t="s">
        <v>48</v>
      </c>
      <c r="B31" s="2" t="s">
        <v>21</v>
      </c>
      <c r="C31" s="2">
        <v>1</v>
      </c>
      <c r="D31" s="2">
        <v>182270</v>
      </c>
      <c r="G31" s="1"/>
      <c r="H31" s="16"/>
      <c r="I31" s="4"/>
      <c r="J31" s="5"/>
    </row>
    <row r="32" spans="1:10" ht="14.4" x14ac:dyDescent="0.3">
      <c r="A32" t="s">
        <v>49</v>
      </c>
      <c r="B32" t="s">
        <v>21</v>
      </c>
      <c r="C32">
        <v>1</v>
      </c>
      <c r="D32">
        <v>85052</v>
      </c>
      <c r="G32" s="1"/>
      <c r="H32" s="16"/>
      <c r="I32" s="4"/>
      <c r="J32" s="5"/>
    </row>
    <row r="33" spans="1:10" ht="14.4" x14ac:dyDescent="0.3">
      <c r="A33" t="s">
        <v>50</v>
      </c>
      <c r="B33" t="s">
        <v>21</v>
      </c>
      <c r="C33">
        <v>1</v>
      </c>
      <c r="D33">
        <v>32773</v>
      </c>
      <c r="G33" s="1"/>
      <c r="H33" s="16"/>
      <c r="I33" s="4"/>
      <c r="J33" s="5"/>
    </row>
    <row r="34" spans="1:10" ht="14.4" x14ac:dyDescent="0.3">
      <c r="A34" t="s">
        <v>51</v>
      </c>
      <c r="B34" t="s">
        <v>21</v>
      </c>
      <c r="C34">
        <v>1</v>
      </c>
      <c r="D34">
        <v>36732</v>
      </c>
      <c r="G34" s="1"/>
      <c r="H34" s="16"/>
      <c r="I34" s="4"/>
      <c r="J34" s="5"/>
    </row>
    <row r="35" spans="1:10" ht="14.4" x14ac:dyDescent="0.3">
      <c r="A35" t="s">
        <v>52</v>
      </c>
      <c r="B35" t="s">
        <v>21</v>
      </c>
      <c r="C35">
        <v>1</v>
      </c>
      <c r="D35">
        <v>23044</v>
      </c>
      <c r="G35" s="1"/>
      <c r="H35" s="16"/>
      <c r="I35" s="4"/>
      <c r="J35" s="5"/>
    </row>
    <row r="36" spans="1:10" ht="14.4" x14ac:dyDescent="0.3">
      <c r="A36" t="s">
        <v>53</v>
      </c>
      <c r="B36" t="s">
        <v>21</v>
      </c>
      <c r="C36">
        <v>1</v>
      </c>
      <c r="D36">
        <v>73870</v>
      </c>
      <c r="G36" s="1"/>
      <c r="H36" s="16"/>
      <c r="I36" s="4"/>
      <c r="J36" s="5"/>
    </row>
    <row r="37" spans="1:10" ht="14.4" x14ac:dyDescent="0.3">
      <c r="A37" t="s">
        <v>54</v>
      </c>
      <c r="B37" t="s">
        <v>21</v>
      </c>
      <c r="C37">
        <v>1</v>
      </c>
      <c r="D37">
        <v>43501</v>
      </c>
      <c r="G37" s="1"/>
      <c r="H37" s="16"/>
      <c r="I37" s="4"/>
      <c r="J37" s="5"/>
    </row>
    <row r="38" spans="1:10" ht="14.4" x14ac:dyDescent="0.3">
      <c r="A38" t="s">
        <v>55</v>
      </c>
      <c r="B38" t="s">
        <v>21</v>
      </c>
      <c r="C38">
        <v>1</v>
      </c>
      <c r="D38">
        <v>43891</v>
      </c>
      <c r="G38" s="1"/>
      <c r="H38" s="16"/>
      <c r="I38" s="4"/>
      <c r="J38" s="5"/>
    </row>
    <row r="39" spans="1:10" ht="14.4" x14ac:dyDescent="0.3">
      <c r="A39" t="s">
        <v>56</v>
      </c>
      <c r="B39" t="s">
        <v>21</v>
      </c>
      <c r="C39">
        <v>1</v>
      </c>
      <c r="D39">
        <v>65865</v>
      </c>
      <c r="G39" s="1"/>
      <c r="H39" s="16"/>
      <c r="I39" s="4"/>
      <c r="J39" s="5"/>
    </row>
    <row r="40" spans="1:10" ht="14.4" x14ac:dyDescent="0.3">
      <c r="A40" t="s">
        <v>57</v>
      </c>
      <c r="B40" t="s">
        <v>21</v>
      </c>
      <c r="C40">
        <v>1</v>
      </c>
      <c r="D40">
        <v>26871</v>
      </c>
      <c r="G40" s="1"/>
      <c r="H40" s="16"/>
      <c r="I40" s="4"/>
      <c r="J40" s="5"/>
    </row>
    <row r="41" spans="1:10" ht="14.4" x14ac:dyDescent="0.3">
      <c r="A41" t="s">
        <v>58</v>
      </c>
      <c r="B41" t="s">
        <v>21</v>
      </c>
      <c r="C41">
        <v>1</v>
      </c>
      <c r="D41">
        <v>39368</v>
      </c>
      <c r="G41" s="1"/>
    </row>
    <row r="42" spans="1:10" ht="14.4" x14ac:dyDescent="0.3">
      <c r="A42" t="s">
        <v>59</v>
      </c>
      <c r="B42" t="s">
        <v>21</v>
      </c>
      <c r="C42">
        <v>1</v>
      </c>
      <c r="D42">
        <v>146667</v>
      </c>
      <c r="G42" s="1"/>
    </row>
    <row r="43" spans="1:10" ht="14.4" x14ac:dyDescent="0.3">
      <c r="A43" s="2" t="s">
        <v>60</v>
      </c>
      <c r="B43" s="2" t="s">
        <v>35</v>
      </c>
      <c r="C43" s="2">
        <v>1</v>
      </c>
      <c r="D43" s="2">
        <v>129003</v>
      </c>
      <c r="G43" s="1"/>
    </row>
    <row r="44" spans="1:10" ht="14.4" x14ac:dyDescent="0.3">
      <c r="A44" t="s">
        <v>61</v>
      </c>
      <c r="B44" t="s">
        <v>35</v>
      </c>
      <c r="C44">
        <v>1</v>
      </c>
      <c r="D44">
        <v>28424</v>
      </c>
      <c r="G44" s="1"/>
    </row>
    <row r="45" spans="1:10" ht="14.4" x14ac:dyDescent="0.3">
      <c r="A45" t="s">
        <v>62</v>
      </c>
      <c r="B45" t="s">
        <v>35</v>
      </c>
      <c r="C45">
        <v>1</v>
      </c>
      <c r="D45">
        <v>144632</v>
      </c>
      <c r="G45" s="1"/>
    </row>
    <row r="46" spans="1:10" ht="14.4" x14ac:dyDescent="0.3">
      <c r="A46" t="s">
        <v>63</v>
      </c>
      <c r="B46" t="s">
        <v>35</v>
      </c>
      <c r="C46">
        <v>1</v>
      </c>
      <c r="D46">
        <v>195944</v>
      </c>
      <c r="G46" s="1"/>
    </row>
    <row r="47" spans="1:10" ht="14.4" x14ac:dyDescent="0.3">
      <c r="A47" t="s">
        <v>64</v>
      </c>
      <c r="B47" t="s">
        <v>35</v>
      </c>
      <c r="C47">
        <v>1</v>
      </c>
      <c r="D47">
        <v>119639</v>
      </c>
      <c r="G47" s="1"/>
    </row>
    <row r="48" spans="1:10" ht="14.4" x14ac:dyDescent="0.3">
      <c r="A48" t="s">
        <v>65</v>
      </c>
      <c r="B48" t="s">
        <v>35</v>
      </c>
      <c r="C48">
        <v>1</v>
      </c>
      <c r="D48">
        <v>148786</v>
      </c>
      <c r="G48" s="1"/>
    </row>
    <row r="49" spans="1:7" ht="14.4" x14ac:dyDescent="0.3">
      <c r="A49" t="s">
        <v>66</v>
      </c>
      <c r="B49" t="s">
        <v>35</v>
      </c>
      <c r="C49">
        <v>1</v>
      </c>
      <c r="D49">
        <v>45706</v>
      </c>
      <c r="G49" s="1"/>
    </row>
    <row r="50" spans="1:7" ht="14.4" x14ac:dyDescent="0.3">
      <c r="A50" t="s">
        <v>67</v>
      </c>
      <c r="B50" t="s">
        <v>35</v>
      </c>
      <c r="C50">
        <v>1</v>
      </c>
      <c r="D50">
        <v>14903</v>
      </c>
      <c r="G50" s="1"/>
    </row>
    <row r="51" spans="1:7" ht="14.4" x14ac:dyDescent="0.3">
      <c r="A51" t="s">
        <v>68</v>
      </c>
      <c r="B51" t="s">
        <v>35</v>
      </c>
      <c r="C51">
        <v>1</v>
      </c>
      <c r="D51">
        <v>31466</v>
      </c>
    </row>
    <row r="52" spans="1:7" ht="14.4" x14ac:dyDescent="0.3">
      <c r="A52" s="2" t="s">
        <v>69</v>
      </c>
      <c r="B52" s="2" t="s">
        <v>21</v>
      </c>
      <c r="C52" s="2">
        <v>2</v>
      </c>
      <c r="D52" s="2">
        <v>161408</v>
      </c>
    </row>
    <row r="53" spans="1:7" ht="14.4" x14ac:dyDescent="0.3">
      <c r="A53" t="s">
        <v>70</v>
      </c>
      <c r="B53" t="s">
        <v>21</v>
      </c>
      <c r="C53">
        <v>2</v>
      </c>
      <c r="D53">
        <v>94274</v>
      </c>
    </row>
    <row r="54" spans="1:7" ht="14.4" x14ac:dyDescent="0.3">
      <c r="A54" t="s">
        <v>71</v>
      </c>
      <c r="B54" t="s">
        <v>21</v>
      </c>
      <c r="C54">
        <v>2</v>
      </c>
      <c r="D54">
        <v>27912</v>
      </c>
    </row>
    <row r="55" spans="1:7" ht="14.4" x14ac:dyDescent="0.3">
      <c r="A55" t="s">
        <v>72</v>
      </c>
      <c r="B55" t="s">
        <v>21</v>
      </c>
      <c r="C55">
        <v>2</v>
      </c>
      <c r="D55">
        <v>137639</v>
      </c>
    </row>
    <row r="56" spans="1:7" ht="14.4" x14ac:dyDescent="0.3">
      <c r="A56" t="s">
        <v>73</v>
      </c>
      <c r="B56" t="s">
        <v>21</v>
      </c>
      <c r="C56">
        <v>2</v>
      </c>
      <c r="D56">
        <v>34900</v>
      </c>
    </row>
    <row r="57" spans="1:7" ht="14.4" x14ac:dyDescent="0.3">
      <c r="A57" t="s">
        <v>74</v>
      </c>
      <c r="B57" t="s">
        <v>21</v>
      </c>
      <c r="C57">
        <v>2</v>
      </c>
      <c r="D57">
        <v>17478</v>
      </c>
    </row>
    <row r="58" spans="1:7" ht="14.4" x14ac:dyDescent="0.3">
      <c r="A58" t="s">
        <v>75</v>
      </c>
      <c r="B58" t="s">
        <v>21</v>
      </c>
      <c r="C58">
        <v>2</v>
      </c>
      <c r="D58">
        <v>37922</v>
      </c>
    </row>
    <row r="59" spans="1:7" ht="14.4" x14ac:dyDescent="0.3">
      <c r="A59" t="s">
        <v>76</v>
      </c>
      <c r="B59" t="s">
        <v>21</v>
      </c>
      <c r="C59">
        <v>2</v>
      </c>
      <c r="D59">
        <v>42094</v>
      </c>
    </row>
    <row r="60" spans="1:7" ht="14.4" x14ac:dyDescent="0.3">
      <c r="A60" t="s">
        <v>77</v>
      </c>
      <c r="B60" t="s">
        <v>21</v>
      </c>
      <c r="C60">
        <v>2</v>
      </c>
      <c r="D60">
        <v>87993</v>
      </c>
    </row>
    <row r="61" spans="1:7" ht="14.4" x14ac:dyDescent="0.3">
      <c r="A61" t="s">
        <v>78</v>
      </c>
      <c r="B61" t="s">
        <v>21</v>
      </c>
      <c r="C61">
        <v>2</v>
      </c>
      <c r="D61">
        <v>39001</v>
      </c>
    </row>
    <row r="62" spans="1:7" ht="14.4" x14ac:dyDescent="0.3">
      <c r="A62" t="s">
        <v>79</v>
      </c>
      <c r="B62" t="s">
        <v>21</v>
      </c>
      <c r="C62">
        <v>2</v>
      </c>
      <c r="D62">
        <v>42309</v>
      </c>
    </row>
    <row r="63" spans="1:7" ht="14.4" x14ac:dyDescent="0.3">
      <c r="A63" s="2" t="s">
        <v>80</v>
      </c>
      <c r="B63" s="2" t="s">
        <v>35</v>
      </c>
      <c r="C63" s="2">
        <v>2</v>
      </c>
      <c r="D63" s="2">
        <v>138756</v>
      </c>
    </row>
    <row r="64" spans="1:7" ht="14.4" x14ac:dyDescent="0.3">
      <c r="A64" t="s">
        <v>81</v>
      </c>
      <c r="B64" t="s">
        <v>35</v>
      </c>
      <c r="C64">
        <v>2</v>
      </c>
      <c r="D64">
        <v>227388</v>
      </c>
    </row>
    <row r="65" spans="1:4" ht="14.4" x14ac:dyDescent="0.3">
      <c r="A65" t="s">
        <v>82</v>
      </c>
      <c r="B65" t="s">
        <v>35</v>
      </c>
      <c r="C65">
        <v>2</v>
      </c>
      <c r="D65">
        <v>81622</v>
      </c>
    </row>
    <row r="66" spans="1:4" ht="14.4" x14ac:dyDescent="0.3">
      <c r="A66" t="s">
        <v>83</v>
      </c>
      <c r="B66" t="s">
        <v>35</v>
      </c>
      <c r="C66">
        <v>2</v>
      </c>
      <c r="D66">
        <v>221833</v>
      </c>
    </row>
    <row r="67" spans="1:4" ht="14.4" x14ac:dyDescent="0.3">
      <c r="A67" t="s">
        <v>84</v>
      </c>
      <c r="B67" t="s">
        <v>35</v>
      </c>
      <c r="C67">
        <v>2</v>
      </c>
      <c r="D67">
        <v>34780</v>
      </c>
    </row>
    <row r="68" spans="1:4" ht="14.4" x14ac:dyDescent="0.3">
      <c r="A68" t="s">
        <v>85</v>
      </c>
      <c r="B68" t="s">
        <v>35</v>
      </c>
      <c r="C68">
        <v>2</v>
      </c>
      <c r="D68">
        <v>34060</v>
      </c>
    </row>
    <row r="69" spans="1:4" ht="14.4" x14ac:dyDescent="0.3">
      <c r="A69" t="s">
        <v>86</v>
      </c>
      <c r="B69" t="s">
        <v>35</v>
      </c>
      <c r="C69">
        <v>2</v>
      </c>
      <c r="D69">
        <v>30409</v>
      </c>
    </row>
    <row r="70" spans="1:4" ht="14.4" x14ac:dyDescent="0.3">
      <c r="A70" t="s">
        <v>87</v>
      </c>
      <c r="B70" t="s">
        <v>35</v>
      </c>
      <c r="C70">
        <v>2</v>
      </c>
      <c r="D70">
        <v>21443</v>
      </c>
    </row>
    <row r="71" spans="1:4" ht="14.4" x14ac:dyDescent="0.3">
      <c r="A71" t="s">
        <v>88</v>
      </c>
      <c r="B71" t="s">
        <v>35</v>
      </c>
      <c r="C71">
        <v>2</v>
      </c>
      <c r="D71">
        <v>57522</v>
      </c>
    </row>
    <row r="72" spans="1:4" ht="14.4" x14ac:dyDescent="0.3">
      <c r="A72" t="s">
        <v>89</v>
      </c>
      <c r="B72" t="s">
        <v>35</v>
      </c>
      <c r="C72">
        <v>2</v>
      </c>
      <c r="D72">
        <v>30228</v>
      </c>
    </row>
    <row r="73" spans="1:4" ht="14.4" x14ac:dyDescent="0.3">
      <c r="A73" t="s">
        <v>90</v>
      </c>
      <c r="B73" t="s">
        <v>35</v>
      </c>
      <c r="C73">
        <v>2</v>
      </c>
      <c r="D73">
        <v>59028</v>
      </c>
    </row>
    <row r="74" spans="1:4" ht="14.4" x14ac:dyDescent="0.3">
      <c r="A74" t="s">
        <v>91</v>
      </c>
      <c r="B74" t="s">
        <v>35</v>
      </c>
      <c r="C74">
        <v>2</v>
      </c>
      <c r="D74">
        <v>183982</v>
      </c>
    </row>
    <row r="75" spans="1:4" ht="14.4" x14ac:dyDescent="0.3">
      <c r="A75" t="s">
        <v>92</v>
      </c>
      <c r="B75" t="s">
        <v>35</v>
      </c>
      <c r="C75">
        <v>2</v>
      </c>
      <c r="D75">
        <v>29019</v>
      </c>
    </row>
    <row r="76" spans="1:4" ht="14.4" x14ac:dyDescent="0.3">
      <c r="A76" t="s">
        <v>93</v>
      </c>
      <c r="B76" t="s">
        <v>35</v>
      </c>
      <c r="C76">
        <v>2</v>
      </c>
      <c r="D76">
        <v>73423</v>
      </c>
    </row>
    <row r="77" spans="1:4" ht="14.4" x14ac:dyDescent="0.3"/>
    <row r="78" spans="1:4" ht="14.4" x14ac:dyDescent="0.3"/>
    <row r="79" spans="1:4" ht="14.4" x14ac:dyDescent="0.3"/>
    <row r="80" spans="1:4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F773-A24A-40BF-84E4-18EB7F10A23D}">
  <dimension ref="A1:F76"/>
  <sheetViews>
    <sheetView tabSelected="1" topLeftCell="A58" workbookViewId="0">
      <selection activeCell="H71" sqref="H71"/>
    </sheetView>
  </sheetViews>
  <sheetFormatPr defaultRowHeight="14.4" x14ac:dyDescent="0.3"/>
  <cols>
    <col min="1" max="1" width="12.44140625" customWidth="1"/>
    <col min="4" max="4" width="7.6640625" bestFit="1" customWidth="1"/>
  </cols>
  <sheetData>
    <row r="1" spans="1:5" x14ac:dyDescent="0.3">
      <c r="A1" s="6" t="s">
        <v>94</v>
      </c>
      <c r="B1" s="6"/>
    </row>
    <row r="2" spans="1:5" x14ac:dyDescent="0.3">
      <c r="A2" s="7" t="s">
        <v>14</v>
      </c>
      <c r="B2" t="s">
        <v>95</v>
      </c>
      <c r="C2" s="8">
        <v>0</v>
      </c>
      <c r="D2" s="7">
        <v>467457</v>
      </c>
      <c r="E2" s="42" t="s">
        <v>96</v>
      </c>
    </row>
    <row r="3" spans="1:5" x14ac:dyDescent="0.3">
      <c r="A3" s="7" t="s">
        <v>16</v>
      </c>
      <c r="B3" t="s">
        <v>95</v>
      </c>
      <c r="C3" s="8">
        <v>0</v>
      </c>
      <c r="D3" s="7">
        <v>44838</v>
      </c>
      <c r="E3" s="42"/>
    </row>
    <row r="4" spans="1:5" x14ac:dyDescent="0.3">
      <c r="A4" s="7" t="s">
        <v>18</v>
      </c>
      <c r="B4" t="s">
        <v>95</v>
      </c>
      <c r="C4" s="8">
        <v>0</v>
      </c>
      <c r="D4" s="7">
        <v>379000</v>
      </c>
      <c r="E4" s="42"/>
    </row>
    <row r="5" spans="1:5" x14ac:dyDescent="0.3">
      <c r="A5" s="7" t="s">
        <v>97</v>
      </c>
      <c r="B5" t="s">
        <v>95</v>
      </c>
      <c r="C5" s="8">
        <v>0</v>
      </c>
      <c r="D5" s="7">
        <v>438649</v>
      </c>
      <c r="E5" s="42"/>
    </row>
    <row r="6" spans="1:5" x14ac:dyDescent="0.3">
      <c r="A6" s="7" t="s">
        <v>85</v>
      </c>
      <c r="B6" t="s">
        <v>95</v>
      </c>
      <c r="C6" s="8">
        <v>0</v>
      </c>
      <c r="D6" s="7">
        <v>21996</v>
      </c>
      <c r="E6" s="42"/>
    </row>
    <row r="7" spans="1:5" x14ac:dyDescent="0.3">
      <c r="A7" s="7" t="s">
        <v>86</v>
      </c>
      <c r="B7" t="s">
        <v>95</v>
      </c>
      <c r="C7" s="8">
        <v>0</v>
      </c>
      <c r="D7" s="7">
        <v>60797</v>
      </c>
      <c r="E7" s="42"/>
    </row>
    <row r="8" spans="1:5" x14ac:dyDescent="0.3">
      <c r="A8" s="9" t="s">
        <v>98</v>
      </c>
      <c r="B8" t="s">
        <v>95</v>
      </c>
      <c r="C8" s="8">
        <v>0</v>
      </c>
      <c r="D8" s="7">
        <v>79721</v>
      </c>
      <c r="E8" s="42"/>
    </row>
    <row r="9" spans="1:5" x14ac:dyDescent="0.3">
      <c r="A9" s="7" t="s">
        <v>99</v>
      </c>
      <c r="B9" t="s">
        <v>95</v>
      </c>
      <c r="C9" s="8">
        <v>0</v>
      </c>
      <c r="D9" s="7">
        <v>38085</v>
      </c>
      <c r="E9" s="42"/>
    </row>
    <row r="10" spans="1:5" x14ac:dyDescent="0.3">
      <c r="A10" s="7" t="s">
        <v>88</v>
      </c>
      <c r="B10" t="s">
        <v>95</v>
      </c>
      <c r="C10" s="14">
        <v>0</v>
      </c>
      <c r="D10" s="7">
        <v>49150</v>
      </c>
      <c r="E10" s="42"/>
    </row>
    <row r="11" spans="1:5" x14ac:dyDescent="0.3">
      <c r="A11" s="10" t="s">
        <v>63</v>
      </c>
      <c r="B11" s="2" t="s">
        <v>21</v>
      </c>
      <c r="C11" s="8" t="s">
        <v>100</v>
      </c>
      <c r="D11" s="10">
        <v>46758</v>
      </c>
      <c r="E11" s="42"/>
    </row>
    <row r="12" spans="1:5" x14ac:dyDescent="0.3">
      <c r="A12" s="7" t="s">
        <v>101</v>
      </c>
      <c r="B12" t="s">
        <v>21</v>
      </c>
      <c r="C12" s="8" t="s">
        <v>100</v>
      </c>
      <c r="D12" s="7">
        <v>657348</v>
      </c>
      <c r="E12" s="42"/>
    </row>
    <row r="13" spans="1:5" x14ac:dyDescent="0.3">
      <c r="A13" s="7" t="s">
        <v>102</v>
      </c>
      <c r="B13" t="s">
        <v>21</v>
      </c>
      <c r="C13" s="8" t="s">
        <v>100</v>
      </c>
      <c r="D13" s="7">
        <v>55400</v>
      </c>
      <c r="E13" s="42"/>
    </row>
    <row r="14" spans="1:5" x14ac:dyDescent="0.3">
      <c r="A14" s="7" t="s">
        <v>103</v>
      </c>
      <c r="B14" t="s">
        <v>21</v>
      </c>
      <c r="C14" s="8" t="s">
        <v>100</v>
      </c>
      <c r="D14" s="7">
        <v>43426</v>
      </c>
      <c r="E14" s="42"/>
    </row>
    <row r="15" spans="1:5" x14ac:dyDescent="0.3">
      <c r="A15" s="7" t="s">
        <v>104</v>
      </c>
      <c r="B15" t="s">
        <v>21</v>
      </c>
      <c r="C15" s="8" t="s">
        <v>100</v>
      </c>
      <c r="D15" s="7">
        <v>36480</v>
      </c>
      <c r="E15" s="42"/>
    </row>
    <row r="16" spans="1:5" x14ac:dyDescent="0.3">
      <c r="A16" s="7" t="s">
        <v>105</v>
      </c>
      <c r="B16" t="s">
        <v>21</v>
      </c>
      <c r="C16" s="8" t="s">
        <v>100</v>
      </c>
      <c r="D16" s="7">
        <v>494692</v>
      </c>
      <c r="E16" s="42"/>
    </row>
    <row r="17" spans="1:5" x14ac:dyDescent="0.3">
      <c r="A17" s="7" t="s">
        <v>106</v>
      </c>
      <c r="B17" t="s">
        <v>21</v>
      </c>
      <c r="C17" s="8" t="s">
        <v>100</v>
      </c>
      <c r="D17" s="7">
        <v>408357</v>
      </c>
      <c r="E17" s="42"/>
    </row>
    <row r="18" spans="1:5" x14ac:dyDescent="0.3">
      <c r="A18" s="7" t="s">
        <v>107</v>
      </c>
      <c r="B18" t="s">
        <v>21</v>
      </c>
      <c r="C18" s="8" t="s">
        <v>100</v>
      </c>
      <c r="D18" s="7">
        <v>381884</v>
      </c>
      <c r="E18" s="42"/>
    </row>
    <row r="19" spans="1:5" x14ac:dyDescent="0.3">
      <c r="A19" s="7" t="s">
        <v>68</v>
      </c>
      <c r="B19" t="s">
        <v>21</v>
      </c>
      <c r="C19" s="14" t="s">
        <v>100</v>
      </c>
      <c r="D19" s="7">
        <v>69206</v>
      </c>
      <c r="E19" s="42"/>
    </row>
    <row r="20" spans="1:5" x14ac:dyDescent="0.3">
      <c r="A20" s="10" t="s">
        <v>108</v>
      </c>
      <c r="B20" s="2" t="s">
        <v>35</v>
      </c>
      <c r="C20" s="8" t="s">
        <v>100</v>
      </c>
      <c r="D20" s="2">
        <v>60775</v>
      </c>
      <c r="E20" s="42"/>
    </row>
    <row r="21" spans="1:5" x14ac:dyDescent="0.3">
      <c r="A21" s="7" t="s">
        <v>109</v>
      </c>
      <c r="B21" t="s">
        <v>35</v>
      </c>
      <c r="C21" s="8" t="s">
        <v>100</v>
      </c>
      <c r="D21">
        <v>49935</v>
      </c>
      <c r="E21" s="42"/>
    </row>
    <row r="22" spans="1:5" x14ac:dyDescent="0.3">
      <c r="A22" s="7" t="s">
        <v>91</v>
      </c>
      <c r="B22" t="s">
        <v>35</v>
      </c>
      <c r="C22" s="8" t="s">
        <v>100</v>
      </c>
      <c r="D22">
        <v>597281</v>
      </c>
      <c r="E22" s="42"/>
    </row>
    <row r="23" spans="1:5" x14ac:dyDescent="0.3">
      <c r="A23" s="7" t="s">
        <v>92</v>
      </c>
      <c r="B23" t="s">
        <v>35</v>
      </c>
      <c r="C23" s="8" t="s">
        <v>100</v>
      </c>
      <c r="D23">
        <v>29044</v>
      </c>
      <c r="E23" s="42"/>
    </row>
    <row r="24" spans="1:5" x14ac:dyDescent="0.3">
      <c r="A24" s="7" t="s">
        <v>110</v>
      </c>
      <c r="B24" t="s">
        <v>35</v>
      </c>
      <c r="C24" s="8" t="s">
        <v>100</v>
      </c>
      <c r="D24">
        <v>476329</v>
      </c>
      <c r="E24" s="42"/>
    </row>
    <row r="25" spans="1:5" x14ac:dyDescent="0.3">
      <c r="A25" s="7" t="s">
        <v>69</v>
      </c>
      <c r="B25" t="s">
        <v>35</v>
      </c>
      <c r="C25" s="8" t="s">
        <v>100</v>
      </c>
      <c r="D25">
        <v>66915</v>
      </c>
      <c r="E25" s="42"/>
    </row>
    <row r="26" spans="1:5" x14ac:dyDescent="0.3">
      <c r="A26" s="7" t="s">
        <v>111</v>
      </c>
      <c r="B26" t="s">
        <v>35</v>
      </c>
      <c r="C26" s="8" t="s">
        <v>100</v>
      </c>
      <c r="D26">
        <v>39819</v>
      </c>
      <c r="E26" s="42"/>
    </row>
    <row r="27" spans="1:5" x14ac:dyDescent="0.3">
      <c r="A27" s="7" t="s">
        <v>112</v>
      </c>
      <c r="B27" t="s">
        <v>35</v>
      </c>
      <c r="C27" s="8" t="s">
        <v>100</v>
      </c>
      <c r="D27">
        <v>61907</v>
      </c>
      <c r="E27" s="42"/>
    </row>
    <row r="28" spans="1:5" x14ac:dyDescent="0.3">
      <c r="A28" s="7" t="s">
        <v>113</v>
      </c>
      <c r="B28" t="s">
        <v>35</v>
      </c>
      <c r="C28" s="8" t="s">
        <v>100</v>
      </c>
      <c r="D28">
        <v>64421</v>
      </c>
      <c r="E28" s="42"/>
    </row>
    <row r="29" spans="1:5" x14ac:dyDescent="0.3">
      <c r="A29" s="7" t="s">
        <v>114</v>
      </c>
      <c r="B29" t="s">
        <v>35</v>
      </c>
      <c r="C29" s="8" t="s">
        <v>100</v>
      </c>
      <c r="D29">
        <v>15426</v>
      </c>
      <c r="E29" s="42"/>
    </row>
    <row r="30" spans="1:5" x14ac:dyDescent="0.3">
      <c r="A30" s="7" t="s">
        <v>115</v>
      </c>
      <c r="B30" t="s">
        <v>35</v>
      </c>
      <c r="C30" s="8" t="s">
        <v>100</v>
      </c>
      <c r="D30">
        <v>59590</v>
      </c>
      <c r="E30" s="42"/>
    </row>
    <row r="31" spans="1:5" x14ac:dyDescent="0.3">
      <c r="A31" s="10" t="s">
        <v>116</v>
      </c>
      <c r="B31" s="2" t="s">
        <v>21</v>
      </c>
      <c r="C31" s="11">
        <v>1</v>
      </c>
      <c r="D31" s="2">
        <v>60324</v>
      </c>
      <c r="E31" s="42"/>
    </row>
    <row r="32" spans="1:5" x14ac:dyDescent="0.3">
      <c r="A32" s="7" t="s">
        <v>59</v>
      </c>
      <c r="B32" t="s">
        <v>21</v>
      </c>
      <c r="C32" s="8">
        <v>1</v>
      </c>
      <c r="D32">
        <v>19133</v>
      </c>
      <c r="E32" s="42"/>
    </row>
    <row r="33" spans="1:5" x14ac:dyDescent="0.3">
      <c r="A33" s="7" t="s">
        <v>117</v>
      </c>
      <c r="B33" t="s">
        <v>21</v>
      </c>
      <c r="C33" s="8">
        <v>1</v>
      </c>
      <c r="D33">
        <v>456614</v>
      </c>
      <c r="E33" s="42"/>
    </row>
    <row r="34" spans="1:5" x14ac:dyDescent="0.3">
      <c r="A34" s="7" t="s">
        <v>118</v>
      </c>
      <c r="B34" t="s">
        <v>21</v>
      </c>
      <c r="C34" s="8">
        <v>1</v>
      </c>
      <c r="D34">
        <v>98948</v>
      </c>
      <c r="E34" s="42"/>
    </row>
    <row r="35" spans="1:5" x14ac:dyDescent="0.3">
      <c r="A35" s="7" t="s">
        <v>119</v>
      </c>
      <c r="B35" t="s">
        <v>21</v>
      </c>
      <c r="C35" s="8">
        <v>1</v>
      </c>
      <c r="D35">
        <v>60193</v>
      </c>
      <c r="E35" s="42"/>
    </row>
    <row r="36" spans="1:5" x14ac:dyDescent="0.3">
      <c r="A36" s="9" t="s">
        <v>120</v>
      </c>
      <c r="B36" t="s">
        <v>21</v>
      </c>
      <c r="C36" s="8">
        <v>1</v>
      </c>
      <c r="D36">
        <v>112992</v>
      </c>
      <c r="E36" s="42"/>
    </row>
    <row r="37" spans="1:5" x14ac:dyDescent="0.3">
      <c r="A37" s="7" t="s">
        <v>121</v>
      </c>
      <c r="B37" t="s">
        <v>21</v>
      </c>
      <c r="C37" s="8">
        <v>1</v>
      </c>
      <c r="D37">
        <v>62715</v>
      </c>
      <c r="E37" s="42"/>
    </row>
    <row r="38" spans="1:5" x14ac:dyDescent="0.3">
      <c r="A38" s="7" t="s">
        <v>122</v>
      </c>
      <c r="B38" t="s">
        <v>21</v>
      </c>
      <c r="C38" s="8">
        <v>1</v>
      </c>
      <c r="D38">
        <v>427525</v>
      </c>
      <c r="E38" s="42"/>
    </row>
    <row r="39" spans="1:5" x14ac:dyDescent="0.3">
      <c r="A39" s="7" t="s">
        <v>123</v>
      </c>
      <c r="B39" t="s">
        <v>21</v>
      </c>
      <c r="C39" s="8">
        <v>1</v>
      </c>
      <c r="D39">
        <v>281364</v>
      </c>
      <c r="E39" s="42"/>
    </row>
    <row r="40" spans="1:5" x14ac:dyDescent="0.3">
      <c r="A40" s="10" t="s">
        <v>124</v>
      </c>
      <c r="B40" s="2" t="s">
        <v>35</v>
      </c>
      <c r="C40" s="11">
        <v>1</v>
      </c>
      <c r="D40" s="2">
        <v>718956</v>
      </c>
      <c r="E40" s="42"/>
    </row>
    <row r="41" spans="1:5" x14ac:dyDescent="0.3">
      <c r="A41" s="7" t="s">
        <v>51</v>
      </c>
      <c r="B41" t="s">
        <v>35</v>
      </c>
      <c r="C41" s="8">
        <v>1</v>
      </c>
      <c r="D41">
        <v>386981</v>
      </c>
      <c r="E41" s="42"/>
    </row>
    <row r="42" spans="1:5" x14ac:dyDescent="0.3">
      <c r="A42" s="7" t="s">
        <v>125</v>
      </c>
      <c r="B42" t="s">
        <v>35</v>
      </c>
      <c r="C42" s="8">
        <v>1</v>
      </c>
      <c r="D42">
        <v>49841</v>
      </c>
      <c r="E42" s="42"/>
    </row>
    <row r="43" spans="1:5" x14ac:dyDescent="0.3">
      <c r="A43" s="7" t="s">
        <v>126</v>
      </c>
      <c r="B43" t="s">
        <v>35</v>
      </c>
      <c r="C43" s="8">
        <v>1</v>
      </c>
      <c r="D43">
        <v>508764</v>
      </c>
      <c r="E43" s="42"/>
    </row>
    <row r="44" spans="1:5" x14ac:dyDescent="0.3">
      <c r="A44" s="7" t="s">
        <v>54</v>
      </c>
      <c r="B44" t="s">
        <v>35</v>
      </c>
      <c r="C44" s="8">
        <v>1</v>
      </c>
      <c r="D44">
        <v>41398</v>
      </c>
      <c r="E44" s="42"/>
    </row>
    <row r="45" spans="1:5" x14ac:dyDescent="0.3">
      <c r="A45" s="7" t="s">
        <v>127</v>
      </c>
      <c r="B45" t="s">
        <v>35</v>
      </c>
      <c r="C45" s="8">
        <v>1</v>
      </c>
      <c r="D45">
        <v>63066</v>
      </c>
      <c r="E45" s="42"/>
    </row>
    <row r="46" spans="1:5" x14ac:dyDescent="0.3">
      <c r="A46" s="7" t="s">
        <v>128</v>
      </c>
      <c r="B46" t="s">
        <v>35</v>
      </c>
      <c r="C46" s="8">
        <v>1</v>
      </c>
      <c r="D46">
        <v>55251</v>
      </c>
      <c r="E46" s="42"/>
    </row>
    <row r="47" spans="1:5" x14ac:dyDescent="0.3">
      <c r="A47" s="7" t="s">
        <v>55</v>
      </c>
      <c r="B47" t="s">
        <v>35</v>
      </c>
      <c r="C47" s="8">
        <v>1</v>
      </c>
      <c r="D47">
        <v>104763</v>
      </c>
      <c r="E47" s="42"/>
    </row>
    <row r="48" spans="1:5" x14ac:dyDescent="0.3">
      <c r="A48" s="7" t="s">
        <v>129</v>
      </c>
      <c r="B48" t="s">
        <v>35</v>
      </c>
      <c r="C48" s="8">
        <v>1</v>
      </c>
      <c r="D48">
        <v>76747</v>
      </c>
      <c r="E48" s="42"/>
    </row>
    <row r="49" spans="1:5" x14ac:dyDescent="0.3">
      <c r="A49" s="7" t="s">
        <v>57</v>
      </c>
      <c r="B49" t="s">
        <v>35</v>
      </c>
      <c r="C49" s="8">
        <v>1</v>
      </c>
      <c r="D49">
        <v>541599</v>
      </c>
      <c r="E49" s="42"/>
    </row>
    <row r="50" spans="1:5" x14ac:dyDescent="0.3">
      <c r="A50" s="10" t="s">
        <v>130</v>
      </c>
      <c r="B50" s="2" t="s">
        <v>21</v>
      </c>
      <c r="C50" s="11">
        <v>2</v>
      </c>
      <c r="D50" s="2">
        <v>82297</v>
      </c>
      <c r="E50" s="42"/>
    </row>
    <row r="51" spans="1:5" x14ac:dyDescent="0.3">
      <c r="A51" s="7" t="s">
        <v>60</v>
      </c>
      <c r="B51" t="s">
        <v>21</v>
      </c>
      <c r="C51" s="12" t="s">
        <v>131</v>
      </c>
      <c r="D51">
        <v>436619</v>
      </c>
      <c r="E51" s="42"/>
    </row>
    <row r="52" spans="1:5" x14ac:dyDescent="0.3">
      <c r="A52" s="7" t="s">
        <v>132</v>
      </c>
      <c r="B52" t="s">
        <v>21</v>
      </c>
      <c r="C52" s="8">
        <v>2</v>
      </c>
      <c r="D52">
        <v>96514</v>
      </c>
      <c r="E52" s="42"/>
    </row>
    <row r="53" spans="1:5" x14ac:dyDescent="0.3">
      <c r="A53" s="7" t="s">
        <v>61</v>
      </c>
      <c r="B53" t="s">
        <v>21</v>
      </c>
      <c r="C53" s="12" t="s">
        <v>131</v>
      </c>
      <c r="D53">
        <v>92932</v>
      </c>
      <c r="E53" s="42"/>
    </row>
    <row r="54" spans="1:5" x14ac:dyDescent="0.3">
      <c r="A54" s="7" t="s">
        <v>133</v>
      </c>
      <c r="B54" t="s">
        <v>21</v>
      </c>
      <c r="C54" s="8">
        <v>2</v>
      </c>
      <c r="D54">
        <v>137723</v>
      </c>
      <c r="E54" s="42"/>
    </row>
    <row r="55" spans="1:5" x14ac:dyDescent="0.3">
      <c r="A55" s="7" t="s">
        <v>134</v>
      </c>
      <c r="B55" t="s">
        <v>21</v>
      </c>
      <c r="C55" s="12" t="s">
        <v>131</v>
      </c>
      <c r="D55">
        <v>465115</v>
      </c>
      <c r="E55" s="42"/>
    </row>
    <row r="56" spans="1:5" x14ac:dyDescent="0.3">
      <c r="A56" s="7" t="s">
        <v>49</v>
      </c>
      <c r="B56" t="s">
        <v>21</v>
      </c>
      <c r="C56" s="8">
        <v>2</v>
      </c>
      <c r="D56">
        <v>333811</v>
      </c>
      <c r="E56" s="42"/>
    </row>
    <row r="57" spans="1:5" x14ac:dyDescent="0.3">
      <c r="A57" s="7" t="s">
        <v>50</v>
      </c>
      <c r="B57" t="s">
        <v>21</v>
      </c>
      <c r="C57" s="12" t="s">
        <v>131</v>
      </c>
      <c r="D57">
        <v>326858</v>
      </c>
      <c r="E57" s="42"/>
    </row>
    <row r="58" spans="1:5" x14ac:dyDescent="0.3">
      <c r="A58" s="10" t="s">
        <v>73</v>
      </c>
      <c r="B58" s="2" t="s">
        <v>35</v>
      </c>
      <c r="C58" s="13" t="s">
        <v>131</v>
      </c>
      <c r="D58" s="2">
        <v>83754</v>
      </c>
      <c r="E58" s="42"/>
    </row>
    <row r="59" spans="1:5" x14ac:dyDescent="0.3">
      <c r="A59" s="7" t="s">
        <v>135</v>
      </c>
      <c r="B59" t="s">
        <v>35</v>
      </c>
      <c r="C59" s="12" t="s">
        <v>131</v>
      </c>
      <c r="D59">
        <v>71467</v>
      </c>
      <c r="E59" s="42"/>
    </row>
    <row r="60" spans="1:5" x14ac:dyDescent="0.3">
      <c r="A60" s="7" t="s">
        <v>136</v>
      </c>
      <c r="B60" t="s">
        <v>35</v>
      </c>
      <c r="C60" s="12" t="s">
        <v>131</v>
      </c>
      <c r="D60">
        <v>337717</v>
      </c>
      <c r="E60" s="42"/>
    </row>
    <row r="61" spans="1:5" x14ac:dyDescent="0.3">
      <c r="A61" s="7" t="s">
        <v>137</v>
      </c>
      <c r="B61" t="s">
        <v>35</v>
      </c>
      <c r="C61" s="12" t="s">
        <v>131</v>
      </c>
      <c r="D61">
        <v>192031</v>
      </c>
      <c r="E61" s="42"/>
    </row>
    <row r="62" spans="1:5" x14ac:dyDescent="0.3">
      <c r="A62" s="7" t="s">
        <v>77</v>
      </c>
      <c r="B62" t="s">
        <v>35</v>
      </c>
      <c r="C62" s="12" t="s">
        <v>131</v>
      </c>
      <c r="D62">
        <v>54315</v>
      </c>
      <c r="E62" s="42"/>
    </row>
    <row r="63" spans="1:5" x14ac:dyDescent="0.3">
      <c r="A63" s="7" t="s">
        <v>138</v>
      </c>
      <c r="B63" t="s">
        <v>35</v>
      </c>
      <c r="C63" s="12" t="s">
        <v>131</v>
      </c>
      <c r="D63">
        <v>57590</v>
      </c>
      <c r="E63" s="42"/>
    </row>
    <row r="64" spans="1:5" x14ac:dyDescent="0.3">
      <c r="A64" s="7" t="s">
        <v>79</v>
      </c>
      <c r="B64" t="s">
        <v>35</v>
      </c>
      <c r="C64" s="12" t="s">
        <v>131</v>
      </c>
      <c r="D64">
        <v>166913</v>
      </c>
      <c r="E64" s="42"/>
    </row>
    <row r="65" spans="1:6" x14ac:dyDescent="0.3">
      <c r="A65" s="7" t="s">
        <v>62</v>
      </c>
      <c r="B65" t="s">
        <v>35</v>
      </c>
      <c r="C65" s="12" t="s">
        <v>131</v>
      </c>
      <c r="D65">
        <v>361526</v>
      </c>
      <c r="E65" s="42"/>
    </row>
    <row r="66" spans="1:6" x14ac:dyDescent="0.3">
      <c r="A66" s="17" t="s">
        <v>139</v>
      </c>
      <c r="B66" s="15" t="s">
        <v>35</v>
      </c>
      <c r="C66" s="40" t="s">
        <v>131</v>
      </c>
      <c r="D66" s="15">
        <v>102180</v>
      </c>
      <c r="E66" s="43"/>
    </row>
    <row r="67" spans="1:6" x14ac:dyDescent="0.3">
      <c r="A67" s="36" t="s">
        <v>140</v>
      </c>
      <c r="B67" s="37" t="s">
        <v>5</v>
      </c>
      <c r="C67" s="37">
        <v>0</v>
      </c>
      <c r="D67" s="36">
        <v>146915</v>
      </c>
      <c r="E67" s="20">
        <v>223474</v>
      </c>
      <c r="F67" s="41" t="s">
        <v>141</v>
      </c>
    </row>
    <row r="68" spans="1:6" x14ac:dyDescent="0.3">
      <c r="A68" s="36" t="s">
        <v>142</v>
      </c>
      <c r="B68" s="37" t="s">
        <v>5</v>
      </c>
      <c r="C68" s="37">
        <v>0</v>
      </c>
      <c r="D68" s="36">
        <v>169020</v>
      </c>
      <c r="E68" s="20">
        <v>242091</v>
      </c>
      <c r="F68" s="41"/>
    </row>
    <row r="69" spans="1:6" x14ac:dyDescent="0.3">
      <c r="A69" s="36" t="s">
        <v>143</v>
      </c>
      <c r="B69" s="37" t="s">
        <v>5</v>
      </c>
      <c r="C69" s="37">
        <v>0</v>
      </c>
      <c r="D69" s="36">
        <v>38763</v>
      </c>
      <c r="E69" s="20">
        <v>54936</v>
      </c>
      <c r="F69" s="41"/>
    </row>
    <row r="70" spans="1:6" x14ac:dyDescent="0.3">
      <c r="A70" s="36" t="s">
        <v>144</v>
      </c>
      <c r="B70" s="37" t="s">
        <v>5</v>
      </c>
      <c r="C70" s="37">
        <v>0</v>
      </c>
      <c r="D70" s="36">
        <v>142465</v>
      </c>
      <c r="E70" s="20">
        <v>229707</v>
      </c>
      <c r="F70" s="41"/>
    </row>
    <row r="71" spans="1:6" x14ac:dyDescent="0.3">
      <c r="A71" s="36" t="s">
        <v>145</v>
      </c>
      <c r="B71" s="37" t="s">
        <v>5</v>
      </c>
      <c r="C71" s="37">
        <v>0</v>
      </c>
      <c r="D71" s="36">
        <v>37571</v>
      </c>
      <c r="E71" s="20">
        <v>55764</v>
      </c>
      <c r="F71" s="41"/>
    </row>
    <row r="72" spans="1:6" x14ac:dyDescent="0.3">
      <c r="A72" s="36" t="s">
        <v>146</v>
      </c>
      <c r="B72" s="37" t="s">
        <v>5</v>
      </c>
      <c r="C72" s="37">
        <v>0</v>
      </c>
      <c r="D72" s="36">
        <v>148371</v>
      </c>
      <c r="E72" s="20">
        <v>222915</v>
      </c>
      <c r="F72" s="41"/>
    </row>
    <row r="73" spans="1:6" x14ac:dyDescent="0.3">
      <c r="A73" s="36" t="s">
        <v>147</v>
      </c>
      <c r="B73" s="37" t="s">
        <v>5</v>
      </c>
      <c r="C73" s="37">
        <v>0</v>
      </c>
      <c r="D73" s="36">
        <v>53784</v>
      </c>
      <c r="E73" s="20">
        <v>77938</v>
      </c>
      <c r="F73" s="41"/>
    </row>
    <row r="74" spans="1:6" x14ac:dyDescent="0.3">
      <c r="A74" s="36" t="s">
        <v>148</v>
      </c>
      <c r="B74" s="37" t="s">
        <v>5</v>
      </c>
      <c r="C74" s="37">
        <v>0</v>
      </c>
      <c r="D74" s="36">
        <v>155044</v>
      </c>
      <c r="E74" s="20">
        <v>234466</v>
      </c>
      <c r="F74" s="41"/>
    </row>
    <row r="75" spans="1:6" x14ac:dyDescent="0.3">
      <c r="A75" s="36" t="s">
        <v>149</v>
      </c>
      <c r="B75" s="37" t="s">
        <v>5</v>
      </c>
      <c r="C75" s="37">
        <v>0</v>
      </c>
      <c r="D75" s="36">
        <v>302650</v>
      </c>
      <c r="E75" s="20">
        <v>413624</v>
      </c>
      <c r="F75" s="41"/>
    </row>
    <row r="76" spans="1:6" x14ac:dyDescent="0.3">
      <c r="A76" s="38" t="s">
        <v>150</v>
      </c>
      <c r="B76" s="39" t="s">
        <v>5</v>
      </c>
      <c r="C76" s="39">
        <v>0</v>
      </c>
      <c r="D76" s="38">
        <v>36291</v>
      </c>
      <c r="E76" s="21">
        <v>57942</v>
      </c>
      <c r="F76" s="41"/>
    </row>
  </sheetData>
  <mergeCells count="2">
    <mergeCell ref="F67:F76"/>
    <mergeCell ref="E2:E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de Araújo Caetano</dc:creator>
  <cp:keywords/>
  <dc:description/>
  <cp:lastModifiedBy>André de Araújo Caetano</cp:lastModifiedBy>
  <cp:revision/>
  <dcterms:created xsi:type="dcterms:W3CDTF">2015-06-05T18:19:34Z</dcterms:created>
  <dcterms:modified xsi:type="dcterms:W3CDTF">2025-11-21T15:18:09Z</dcterms:modified>
  <cp:category/>
  <cp:contentStatus/>
</cp:coreProperties>
</file>